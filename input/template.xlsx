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VX783PD\Downloads\"/>
    </mc:Choice>
  </mc:AlternateContent>
  <xr:revisionPtr revIDLastSave="0" documentId="8_{91A2AC7A-35FC-44DC-8286-B6AC733C6ADB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Sheet5" sheetId="6" state="hidden" r:id="rId1"/>
    <sheet name="Sheet1" sheetId="9" r:id="rId2"/>
    <sheet name="JobStepsTemplate2" sheetId="8" r:id="rId3"/>
    <sheet name="JobStepsTemplate1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8" l="1"/>
  <c r="M17" i="8"/>
  <c r="L17" i="8"/>
  <c r="K17" i="8"/>
  <c r="J17" i="8"/>
  <c r="I17" i="8"/>
  <c r="H17" i="8"/>
  <c r="G17" i="8"/>
  <c r="F17" i="8"/>
  <c r="E17" i="8"/>
  <c r="D17" i="8"/>
  <c r="C17" i="8"/>
  <c r="B17" i="8"/>
  <c r="M16" i="8"/>
  <c r="L16" i="8"/>
  <c r="K16" i="8"/>
  <c r="J16" i="8"/>
  <c r="I16" i="8"/>
  <c r="H16" i="8"/>
  <c r="G16" i="8"/>
  <c r="F16" i="8"/>
  <c r="E16" i="8"/>
  <c r="D16" i="8"/>
  <c r="C16" i="8"/>
  <c r="B16" i="8"/>
  <c r="M15" i="8"/>
  <c r="L15" i="8"/>
  <c r="K15" i="8"/>
  <c r="J15" i="8"/>
  <c r="I15" i="8"/>
  <c r="H15" i="8"/>
  <c r="G15" i="8"/>
  <c r="F15" i="8"/>
  <c r="E15" i="8"/>
  <c r="D15" i="8"/>
  <c r="C15" i="8"/>
  <c r="B15" i="8"/>
  <c r="M14" i="8"/>
  <c r="L14" i="8"/>
  <c r="K14" i="8"/>
  <c r="J14" i="8"/>
  <c r="I14" i="8"/>
  <c r="H14" i="8"/>
  <c r="G14" i="8"/>
  <c r="F14" i="8"/>
  <c r="E14" i="8"/>
  <c r="D14" i="8"/>
  <c r="C14" i="8"/>
  <c r="B14" i="8"/>
  <c r="M13" i="8"/>
  <c r="L13" i="8"/>
  <c r="K13" i="8"/>
  <c r="J13" i="8"/>
  <c r="I13" i="8"/>
  <c r="H13" i="8"/>
  <c r="G13" i="8"/>
  <c r="F13" i="8"/>
  <c r="E13" i="8"/>
  <c r="D13" i="8"/>
  <c r="C13" i="8"/>
  <c r="B13" i="8"/>
  <c r="M12" i="8"/>
  <c r="L12" i="8"/>
  <c r="K12" i="8"/>
  <c r="J12" i="8"/>
  <c r="I12" i="8"/>
  <c r="H12" i="8"/>
  <c r="G12" i="8"/>
  <c r="F12" i="8"/>
  <c r="E12" i="8"/>
  <c r="D12" i="8"/>
  <c r="C12" i="8"/>
  <c r="B12" i="8"/>
  <c r="L10" i="8"/>
  <c r="K10" i="8"/>
  <c r="J10" i="8"/>
  <c r="I10" i="8"/>
  <c r="H10" i="8"/>
  <c r="G10" i="8"/>
  <c r="F10" i="8"/>
  <c r="E10" i="8"/>
  <c r="D10" i="8"/>
  <c r="C10" i="8"/>
  <c r="B10" i="8"/>
  <c r="M9" i="8"/>
  <c r="L9" i="8"/>
  <c r="K9" i="8"/>
  <c r="J9" i="8"/>
  <c r="I9" i="8"/>
  <c r="H9" i="8"/>
  <c r="G9" i="8"/>
  <c r="F9" i="8"/>
  <c r="E9" i="8"/>
  <c r="D9" i="8"/>
  <c r="C9" i="8"/>
  <c r="B9" i="8"/>
  <c r="M7" i="8"/>
  <c r="L7" i="8"/>
  <c r="K7" i="8"/>
  <c r="J7" i="8"/>
  <c r="I7" i="8"/>
  <c r="H7" i="8"/>
  <c r="G7" i="8"/>
  <c r="F7" i="8"/>
  <c r="E7" i="8"/>
  <c r="D7" i="8"/>
  <c r="C7" i="8"/>
  <c r="B7" i="8"/>
  <c r="M6" i="8"/>
  <c r="L6" i="8"/>
  <c r="K6" i="8"/>
  <c r="J6" i="8"/>
  <c r="I6" i="8"/>
  <c r="H6" i="8"/>
  <c r="G6" i="8"/>
  <c r="F6" i="8"/>
  <c r="E6" i="8"/>
  <c r="D6" i="8"/>
  <c r="C6" i="8"/>
  <c r="B6" i="8"/>
  <c r="M5" i="8"/>
  <c r="L5" i="8"/>
  <c r="K5" i="8"/>
  <c r="J5" i="8"/>
  <c r="I5" i="8"/>
  <c r="H5" i="8"/>
  <c r="G5" i="8"/>
  <c r="F5" i="8"/>
  <c r="E5" i="8"/>
  <c r="D5" i="8"/>
  <c r="C5" i="8"/>
  <c r="B5" i="8"/>
  <c r="M4" i="8"/>
  <c r="L4" i="8"/>
  <c r="K4" i="8"/>
  <c r="J4" i="8"/>
  <c r="I4" i="8"/>
  <c r="H4" i="8"/>
  <c r="G4" i="8"/>
  <c r="F4" i="8"/>
  <c r="E4" i="8"/>
  <c r="D4" i="8"/>
  <c r="C4" i="8"/>
  <c r="B4" i="8"/>
  <c r="M2" i="8"/>
  <c r="L2" i="8"/>
  <c r="K2" i="8"/>
  <c r="J2" i="8"/>
  <c r="I2" i="8"/>
  <c r="H2" i="8"/>
  <c r="G2" i="8"/>
  <c r="F2" i="8"/>
  <c r="E2" i="8"/>
  <c r="D2" i="8"/>
  <c r="C2" i="8"/>
  <c r="B2" i="8"/>
  <c r="N3" i="8" l="1"/>
  <c r="N4" i="8"/>
  <c r="N12" i="8"/>
  <c r="N18" i="8"/>
  <c r="N19" i="8" s="1"/>
  <c r="N9" i="8"/>
  <c r="N8" i="8"/>
  <c r="N11" i="8"/>
  <c r="C12" i="2"/>
  <c r="D12" i="2"/>
  <c r="E12" i="2"/>
  <c r="F12" i="2"/>
  <c r="G12" i="2"/>
  <c r="H12" i="2"/>
  <c r="I12" i="2"/>
  <c r="J12" i="2"/>
  <c r="K12" i="2"/>
  <c r="L12" i="2"/>
  <c r="M12" i="2"/>
  <c r="C13" i="2"/>
  <c r="D13" i="2"/>
  <c r="E13" i="2"/>
  <c r="F13" i="2"/>
  <c r="G13" i="2"/>
  <c r="H13" i="2"/>
  <c r="I13" i="2"/>
  <c r="J13" i="2"/>
  <c r="K13" i="2"/>
  <c r="L13" i="2"/>
  <c r="M13" i="2"/>
  <c r="C14" i="2"/>
  <c r="D14" i="2"/>
  <c r="E14" i="2"/>
  <c r="F14" i="2"/>
  <c r="G14" i="2"/>
  <c r="H14" i="2"/>
  <c r="I14" i="2"/>
  <c r="J14" i="2"/>
  <c r="K14" i="2"/>
  <c r="L14" i="2"/>
  <c r="M14" i="2"/>
  <c r="C15" i="2"/>
  <c r="D15" i="2"/>
  <c r="E15" i="2"/>
  <c r="F15" i="2"/>
  <c r="G15" i="2"/>
  <c r="H15" i="2"/>
  <c r="I15" i="2"/>
  <c r="J15" i="2"/>
  <c r="K15" i="2"/>
  <c r="L15" i="2"/>
  <c r="M15" i="2"/>
  <c r="C16" i="2"/>
  <c r="D16" i="2"/>
  <c r="E16" i="2"/>
  <c r="F16" i="2"/>
  <c r="G16" i="2"/>
  <c r="H16" i="2"/>
  <c r="I16" i="2"/>
  <c r="J16" i="2"/>
  <c r="K16" i="2"/>
  <c r="L16" i="2"/>
  <c r="M16" i="2"/>
  <c r="C17" i="2"/>
  <c r="D17" i="2"/>
  <c r="E17" i="2"/>
  <c r="F17" i="2"/>
  <c r="G17" i="2"/>
  <c r="H17" i="2"/>
  <c r="I17" i="2"/>
  <c r="J17" i="2"/>
  <c r="K17" i="2"/>
  <c r="L17" i="2"/>
  <c r="M17" i="2"/>
  <c r="C18" i="2"/>
  <c r="D18" i="2"/>
  <c r="E18" i="2"/>
  <c r="F18" i="2"/>
  <c r="G18" i="2"/>
  <c r="H18" i="2"/>
  <c r="I18" i="2"/>
  <c r="J18" i="2"/>
  <c r="K18" i="2"/>
  <c r="L18" i="2"/>
  <c r="M18" i="2"/>
  <c r="C19" i="2"/>
  <c r="D19" i="2"/>
  <c r="E19" i="2"/>
  <c r="F19" i="2"/>
  <c r="G19" i="2"/>
  <c r="H19" i="2"/>
  <c r="I19" i="2"/>
  <c r="J19" i="2"/>
  <c r="K19" i="2"/>
  <c r="L19" i="2"/>
  <c r="M19" i="2"/>
  <c r="C9" i="2"/>
  <c r="D9" i="2"/>
  <c r="E9" i="2"/>
  <c r="F9" i="2"/>
  <c r="G9" i="2"/>
  <c r="H9" i="2"/>
  <c r="I9" i="2"/>
  <c r="J9" i="2"/>
  <c r="K9" i="2"/>
  <c r="L9" i="2"/>
  <c r="M9" i="2"/>
  <c r="C10" i="2"/>
  <c r="D10" i="2"/>
  <c r="E10" i="2"/>
  <c r="F10" i="2"/>
  <c r="G10" i="2"/>
  <c r="H10" i="2"/>
  <c r="I10" i="2"/>
  <c r="J10" i="2"/>
  <c r="K10" i="2"/>
  <c r="L10" i="2"/>
  <c r="M10" i="2"/>
  <c r="C4" i="2"/>
  <c r="D4" i="2"/>
  <c r="E4" i="2"/>
  <c r="F4" i="2"/>
  <c r="G4" i="2"/>
  <c r="H4" i="2"/>
  <c r="I4" i="2"/>
  <c r="J4" i="2"/>
  <c r="K4" i="2"/>
  <c r="L4" i="2"/>
  <c r="M4" i="2"/>
  <c r="C5" i="2"/>
  <c r="D5" i="2"/>
  <c r="E5" i="2"/>
  <c r="F5" i="2"/>
  <c r="G5" i="2"/>
  <c r="H5" i="2"/>
  <c r="I5" i="2"/>
  <c r="J5" i="2"/>
  <c r="K5" i="2"/>
  <c r="L5" i="2"/>
  <c r="M5" i="2"/>
  <c r="C6" i="2"/>
  <c r="D6" i="2"/>
  <c r="E6" i="2"/>
  <c r="F6" i="2"/>
  <c r="G6" i="2"/>
  <c r="H6" i="2"/>
  <c r="I6" i="2"/>
  <c r="J6" i="2"/>
  <c r="K6" i="2"/>
  <c r="L6" i="2"/>
  <c r="M6" i="2"/>
  <c r="C7" i="2"/>
  <c r="D7" i="2"/>
  <c r="E7" i="2"/>
  <c r="F7" i="2"/>
  <c r="G7" i="2"/>
  <c r="H7" i="2"/>
  <c r="I7" i="2"/>
  <c r="J7" i="2"/>
  <c r="K7" i="2"/>
  <c r="L7" i="2"/>
  <c r="M7" i="2"/>
  <c r="C2" i="2"/>
  <c r="D2" i="2"/>
  <c r="E2" i="2"/>
  <c r="F2" i="2"/>
  <c r="G2" i="2"/>
  <c r="H2" i="2"/>
  <c r="I2" i="2"/>
  <c r="J2" i="2"/>
  <c r="K2" i="2"/>
  <c r="L2" i="2"/>
  <c r="M2" i="2"/>
  <c r="N20" i="2" s="1"/>
  <c r="N21" i="2" s="1"/>
  <c r="B13" i="2"/>
  <c r="B14" i="2"/>
  <c r="B15" i="2"/>
  <c r="B16" i="2"/>
  <c r="B17" i="2"/>
  <c r="B18" i="2"/>
  <c r="B19" i="2"/>
  <c r="B12" i="2"/>
  <c r="B10" i="2"/>
  <c r="B9" i="2"/>
  <c r="B5" i="2"/>
  <c r="B6" i="2"/>
  <c r="B7" i="2"/>
  <c r="B4" i="2"/>
  <c r="B2" i="2"/>
  <c r="M8" i="6"/>
  <c r="M4" i="6"/>
  <c r="M19" i="6"/>
  <c r="M18" i="6"/>
  <c r="M13" i="6"/>
  <c r="M12" i="6"/>
  <c r="M7" i="6"/>
  <c r="M5" i="6"/>
  <c r="M1" i="6"/>
  <c r="N9" i="2" l="1"/>
  <c r="N11" i="2"/>
  <c r="N12" i="2"/>
  <c r="N8" i="2"/>
  <c r="N4" i="2"/>
  <c r="N3" i="2"/>
</calcChain>
</file>

<file path=xl/sharedStrings.xml><?xml version="1.0" encoding="utf-8"?>
<sst xmlns="http://schemas.openxmlformats.org/spreadsheetml/2006/main" count="438" uniqueCount="64">
  <si>
    <t>CREATE_JOB</t>
  </si>
  <si>
    <t>Log Request to BP Request Header table and Create Job</t>
  </si>
  <si>
    <t>System</t>
  </si>
  <si>
    <t>LOAD_TO_BLOB</t>
  </si>
  <si>
    <t>GDC.CM_LoadData Webjob - Input file upload blob storage</t>
  </si>
  <si>
    <t>LOAD_TO_STG</t>
  </si>
  <si>
    <t>GDC.CM_LoadData Webjob - Load data to staging tables</t>
  </si>
  <si>
    <t>DATA_VALIDATE</t>
  </si>
  <si>
    <t>GDC.CM_ValidateData. Validate the case creation request received</t>
  </si>
  <si>
    <t>CREATE_CASE</t>
  </si>
  <si>
    <t>GDC.CM_CreateCase.Create Cases at EYMP - Case Created Successfully</t>
  </si>
  <si>
    <t>CREATE_REPORT</t>
  </si>
  <si>
    <t>GDC.CM_CreateCase.Create Report from Staging table  as Json</t>
  </si>
  <si>
    <t>GDC.CM_CreateCase.Create Report from Staging table as Excel</t>
  </si>
  <si>
    <t>JobStepId</t>
  </si>
  <si>
    <t>JobDefinitionStepsId</t>
  </si>
  <si>
    <t>JobId</t>
  </si>
  <si>
    <t>JobStepName</t>
  </si>
  <si>
    <t>Description</t>
  </si>
  <si>
    <t>ExecutionOrder</t>
  </si>
  <si>
    <t>JobDefinitionStepStatusId</t>
  </si>
  <si>
    <t>IsDeleted</t>
  </si>
  <si>
    <t>CreatedUser</t>
  </si>
  <si>
    <t>CreatedTimestamp</t>
  </si>
  <si>
    <t>UpdatedUser</t>
  </si>
  <si>
    <t>UpdatedTimestamp</t>
  </si>
  <si>
    <t>2026-03-11T13:23:56.5230000</t>
  </si>
  <si>
    <t>2026-03-11T13:25:09.1970000</t>
  </si>
  <si>
    <t>2026-03-11T13:25:10.0800000</t>
  </si>
  <si>
    <t>2026-03-11T13:25:10.1930000</t>
  </si>
  <si>
    <t>2026-03-11T13:25:14.7970000</t>
  </si>
  <si>
    <t>2026-03-11T14:10:41.4670000</t>
  </si>
  <si>
    <t>2026-03-11T14:49:55.9270000</t>
  </si>
  <si>
    <t>2026-03-11T14:51:46.9870000</t>
  </si>
  <si>
    <t>2026-03-11T15:20:25.4830000</t>
  </si>
  <si>
    <t>GDC.CM_CreateCase.Create Report from Staging table as Json</t>
  </si>
  <si>
    <t>2026-03-11T15:20:29.0100000</t>
  </si>
  <si>
    <t>2026-03-11T15:20:29.5970000</t>
  </si>
  <si>
    <t>2026-03-11T15:20:31.0170000</t>
  </si>
  <si>
    <t>2026-03-11T15:20:31.0800000</t>
  </si>
  <si>
    <t>2026-03-11T15:20:31.3830000</t>
  </si>
  <si>
    <t>2026-03-11T13:22:10.0330000</t>
  </si>
  <si>
    <t>2026-03-11T13:25:00.6700000</t>
  </si>
  <si>
    <t>2026-03-11T13:25:01.6330000</t>
  </si>
  <si>
    <t>2026-03-11T13:25:01.7000000</t>
  </si>
  <si>
    <t>2026-03-11T13:25:09.1230000</t>
  </si>
  <si>
    <t>2026-03-11T13:30:07.3700000</t>
  </si>
  <si>
    <t>2026-03-11T14:10:40.0970000</t>
  </si>
  <si>
    <t>2026-03-11T14:15:00.6100000</t>
  </si>
  <si>
    <t>2026-03-11T14:51:41.2300000</t>
  </si>
  <si>
    <t>2026-03-11T14:51:41.8400000</t>
  </si>
  <si>
    <t>2026-03-11T14:51:43.8000000</t>
  </si>
  <si>
    <t>2026-03-11T14:51:44.5830000</t>
  </si>
  <si>
    <t>2026-03-11T14:51:45.2470000</t>
  </si>
  <si>
    <t>Job Steps</t>
  </si>
  <si>
    <t>Processing Time</t>
  </si>
  <si>
    <t>Bulk case create API invoke:</t>
  </si>
  <si>
    <t>Wait Time</t>
  </si>
  <si>
    <t>Web Job 1:</t>
  </si>
  <si>
    <t>Web Job 2:</t>
  </si>
  <si>
    <t>Web Job 3:</t>
  </si>
  <si>
    <t>Final Status</t>
  </si>
  <si>
    <t>Total Processing Time</t>
  </si>
  <si>
    <t>Time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</si>
</sst>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hh:mm:ss.000"/>
    <numFmt numFmtId="166" formatCode="dd/mm/yyyy\ hh:mm:ss.000"/>
    <numFmt numFmtId="167" formatCode="m/d/yy\ h:mm;@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z_Ea_Font"/>
      <charset val="1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CCC"/>
        <bgColor indexed="64"/>
      </patternFill>
    </fill>
    <fill>
      <patternFill patternType="solid">
        <fgColor rgb="FFF3F2F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EDEBE9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2" borderId="1" xfId="0" applyNumberFormat="1" applyFill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3" fillId="0" borderId="8" xfId="0" applyFont="1" applyBorder="1"/>
    <xf numFmtId="0" fontId="4" fillId="3" borderId="10" xfId="0" applyFont="1" applyFill="1" applyBorder="1"/>
    <xf numFmtId="0" fontId="5" fillId="3" borderId="10" xfId="0" applyFont="1" applyFill="1" applyBorder="1"/>
    <xf numFmtId="0" fontId="6" fillId="0" borderId="0" xfId="0" applyFont="1"/>
    <xf numFmtId="47" fontId="6" fillId="0" borderId="0" xfId="0" applyNumberFormat="1" applyFont="1"/>
    <xf numFmtId="0" fontId="3" fillId="0" borderId="9" xfId="0" applyFont="1" applyBorder="1"/>
    <xf numFmtId="0" fontId="3" fillId="4" borderId="9" xfId="0" applyFont="1" applyFill="1" applyBorder="1"/>
    <xf numFmtId="167" fontId="3" fillId="0" borderId="9" xfId="0" applyNumberFormat="1" applyFont="1" applyBorder="1"/>
    <xf numFmtId="22" fontId="6" fillId="0" borderId="0" xfId="0" applyNumberFormat="1" applyFont="1"/>
    <xf numFmtId="166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2BD9-BD1E-4DEF-B32E-550805E95DB2}">
  <dimension ref="A1:M19"/>
  <sheetViews>
    <sheetView workbookViewId="0">
      <selection activeCell="M19" activeCellId="8" sqref="M1 M4 M5 M7 M8 M12 M13 M18 M19"/>
    </sheetView>
  </sheetViews>
  <sheetFormatPr defaultRowHeight="15"/>
  <cols>
    <col min="4" max="4" width="15.28515625" bestFit="1" customWidth="1"/>
    <col min="5" max="5" width="9.140625" style="2"/>
    <col min="12" max="12" width="11.7109375" style="2" bestFit="1" customWidth="1"/>
    <col min="13" max="13" width="11.7109375" bestFit="1" customWidth="1"/>
  </cols>
  <sheetData>
    <row r="1" spans="1:13">
      <c r="A1" s="12">
        <v>517</v>
      </c>
      <c r="B1" s="12">
        <v>1</v>
      </c>
      <c r="C1" s="12">
        <v>55</v>
      </c>
      <c r="D1" s="12" t="s">
        <v>0</v>
      </c>
      <c r="E1" s="14" t="s">
        <v>1</v>
      </c>
      <c r="F1">
        <v>1</v>
      </c>
      <c r="G1">
        <v>1</v>
      </c>
      <c r="H1">
        <v>0</v>
      </c>
      <c r="I1" t="s">
        <v>2</v>
      </c>
      <c r="J1" s="1">
        <v>45961.869456562497</v>
      </c>
      <c r="K1" t="s">
        <v>2</v>
      </c>
      <c r="L1" s="2">
        <v>45961.869456562497</v>
      </c>
      <c r="M1" s="2">
        <f>L2-L1</f>
        <v>2.0756134254042991E-3</v>
      </c>
    </row>
    <row r="2" spans="1:13">
      <c r="A2" s="12">
        <v>518</v>
      </c>
      <c r="B2" s="12">
        <v>3</v>
      </c>
      <c r="C2" s="13">
        <v>55</v>
      </c>
      <c r="D2" s="12" t="s">
        <v>3</v>
      </c>
      <c r="E2" s="14" t="s">
        <v>4</v>
      </c>
      <c r="F2">
        <v>1</v>
      </c>
      <c r="G2">
        <v>2</v>
      </c>
      <c r="H2">
        <v>0</v>
      </c>
      <c r="I2" t="s">
        <v>2</v>
      </c>
      <c r="J2" s="1">
        <v>45961.871532175923</v>
      </c>
      <c r="K2" t="s">
        <v>2</v>
      </c>
      <c r="L2" s="2">
        <v>45961.871532175923</v>
      </c>
    </row>
    <row r="3" spans="1:13">
      <c r="A3" s="12">
        <v>519</v>
      </c>
      <c r="B3" s="12">
        <v>3</v>
      </c>
      <c r="C3" s="13">
        <v>55</v>
      </c>
      <c r="D3" s="12" t="s">
        <v>3</v>
      </c>
      <c r="E3" s="14" t="s">
        <v>4</v>
      </c>
      <c r="F3">
        <v>1</v>
      </c>
      <c r="G3">
        <v>3</v>
      </c>
      <c r="H3">
        <v>0</v>
      </c>
      <c r="I3" t="s">
        <v>2</v>
      </c>
      <c r="J3" s="1">
        <v>45961.871544988426</v>
      </c>
      <c r="K3" t="s">
        <v>2</v>
      </c>
      <c r="L3" s="2">
        <v>45961.871544988426</v>
      </c>
    </row>
    <row r="4" spans="1:13">
      <c r="A4" s="12">
        <v>520</v>
      </c>
      <c r="B4" s="12">
        <v>2</v>
      </c>
      <c r="C4" s="13">
        <v>55</v>
      </c>
      <c r="D4" s="12" t="s">
        <v>5</v>
      </c>
      <c r="E4" s="14" t="s">
        <v>6</v>
      </c>
      <c r="F4">
        <v>1</v>
      </c>
      <c r="G4">
        <v>2</v>
      </c>
      <c r="H4">
        <v>0</v>
      </c>
      <c r="I4" t="s">
        <v>2</v>
      </c>
      <c r="J4" s="1">
        <v>45961.875001817127</v>
      </c>
      <c r="K4" t="s">
        <v>2</v>
      </c>
      <c r="L4" s="2">
        <v>45961.875001817127</v>
      </c>
      <c r="M4" s="2">
        <f>L5-L2</f>
        <v>3.5077199136139825E-3</v>
      </c>
    </row>
    <row r="5" spans="1:13">
      <c r="A5" s="12">
        <v>521</v>
      </c>
      <c r="B5" s="12">
        <v>2</v>
      </c>
      <c r="C5" s="13">
        <v>55</v>
      </c>
      <c r="D5" s="12" t="s">
        <v>5</v>
      </c>
      <c r="E5" s="14" t="s">
        <v>6</v>
      </c>
      <c r="F5">
        <v>1</v>
      </c>
      <c r="G5">
        <v>3</v>
      </c>
      <c r="H5">
        <v>0</v>
      </c>
      <c r="I5" t="s">
        <v>2</v>
      </c>
      <c r="J5" s="1">
        <v>45961.875039895836</v>
      </c>
      <c r="K5" t="s">
        <v>2</v>
      </c>
      <c r="L5" s="2">
        <v>45961.875039895836</v>
      </c>
      <c r="M5" s="2">
        <f>L6-L5</f>
        <v>3.4371527726761997E-3</v>
      </c>
    </row>
    <row r="6" spans="1:13">
      <c r="A6" s="12">
        <v>522</v>
      </c>
      <c r="B6" s="12">
        <v>4</v>
      </c>
      <c r="C6" s="12">
        <v>55</v>
      </c>
      <c r="D6" s="12" t="s">
        <v>7</v>
      </c>
      <c r="E6" s="14" t="s">
        <v>8</v>
      </c>
      <c r="F6">
        <v>1</v>
      </c>
      <c r="G6">
        <v>2</v>
      </c>
      <c r="H6">
        <v>0</v>
      </c>
      <c r="I6" t="s">
        <v>2</v>
      </c>
      <c r="J6" s="1">
        <v>45961.878477048609</v>
      </c>
      <c r="K6" t="s">
        <v>2</v>
      </c>
      <c r="L6" s="2">
        <v>45961.878477048609</v>
      </c>
      <c r="M6" s="2"/>
    </row>
    <row r="7" spans="1:13">
      <c r="A7" s="12">
        <v>523</v>
      </c>
      <c r="B7" s="12">
        <v>4</v>
      </c>
      <c r="C7" s="12">
        <v>55</v>
      </c>
      <c r="D7" s="12" t="s">
        <v>7</v>
      </c>
      <c r="E7" s="14" t="s">
        <v>8</v>
      </c>
      <c r="F7">
        <v>1</v>
      </c>
      <c r="G7">
        <v>3</v>
      </c>
      <c r="H7">
        <v>0</v>
      </c>
      <c r="I7" t="s">
        <v>2</v>
      </c>
      <c r="J7" s="1">
        <v>45961.926854895835</v>
      </c>
      <c r="K7" t="s">
        <v>2</v>
      </c>
      <c r="L7" s="2">
        <v>45961.926854895835</v>
      </c>
      <c r="M7" s="2">
        <f>L7-L6</f>
        <v>4.8377847226220183E-2</v>
      </c>
    </row>
    <row r="8" spans="1:13">
      <c r="A8" s="12">
        <v>524</v>
      </c>
      <c r="B8" s="12">
        <v>5</v>
      </c>
      <c r="C8" s="12">
        <v>55</v>
      </c>
      <c r="D8" s="12" t="s">
        <v>9</v>
      </c>
      <c r="E8" s="14" t="s">
        <v>10</v>
      </c>
      <c r="F8">
        <v>1</v>
      </c>
      <c r="G8">
        <v>2</v>
      </c>
      <c r="H8">
        <v>0</v>
      </c>
      <c r="I8" t="s">
        <v>2</v>
      </c>
      <c r="J8" s="1">
        <v>45961.927087384262</v>
      </c>
      <c r="K8" t="s">
        <v>2</v>
      </c>
      <c r="L8" s="2">
        <v>45961.927087384262</v>
      </c>
      <c r="M8" s="2">
        <f>L8-L7</f>
        <v>2.3248842626344413E-4</v>
      </c>
    </row>
    <row r="9" spans="1:13">
      <c r="A9" s="12">
        <v>525</v>
      </c>
      <c r="B9" s="12">
        <v>6</v>
      </c>
      <c r="C9" s="12">
        <v>55</v>
      </c>
      <c r="D9" s="12" t="s">
        <v>11</v>
      </c>
      <c r="E9" s="14" t="s">
        <v>12</v>
      </c>
      <c r="F9">
        <v>1</v>
      </c>
      <c r="G9">
        <v>2</v>
      </c>
      <c r="H9">
        <v>0</v>
      </c>
      <c r="I9" t="s">
        <v>2</v>
      </c>
      <c r="J9" s="1">
        <v>45961.944960960645</v>
      </c>
      <c r="K9" t="s">
        <v>2</v>
      </c>
      <c r="L9" s="2">
        <v>45961.944960960645</v>
      </c>
    </row>
    <row r="10" spans="1:13">
      <c r="A10" s="12">
        <v>526</v>
      </c>
      <c r="B10" s="12">
        <v>6</v>
      </c>
      <c r="C10" s="12">
        <v>55</v>
      </c>
      <c r="D10" s="12" t="s">
        <v>11</v>
      </c>
      <c r="E10" s="14" t="s">
        <v>12</v>
      </c>
      <c r="F10">
        <v>1</v>
      </c>
      <c r="G10">
        <v>12</v>
      </c>
      <c r="H10">
        <v>0</v>
      </c>
      <c r="I10" t="s">
        <v>2</v>
      </c>
      <c r="J10" s="1">
        <v>45961.94496990741</v>
      </c>
      <c r="K10" t="s">
        <v>2</v>
      </c>
      <c r="L10" s="2">
        <v>45961.94496990741</v>
      </c>
    </row>
    <row r="11" spans="1:13">
      <c r="A11" s="12">
        <v>527</v>
      </c>
      <c r="B11" s="12">
        <v>6</v>
      </c>
      <c r="C11" s="12">
        <v>55</v>
      </c>
      <c r="D11" s="12" t="s">
        <v>11</v>
      </c>
      <c r="E11" s="14" t="s">
        <v>13</v>
      </c>
      <c r="F11">
        <v>1</v>
      </c>
      <c r="G11">
        <v>2</v>
      </c>
      <c r="H11">
        <v>0</v>
      </c>
      <c r="I11" t="s">
        <v>2</v>
      </c>
      <c r="J11" s="1">
        <v>45961.944990509262</v>
      </c>
      <c r="K11" t="s">
        <v>2</v>
      </c>
      <c r="L11" s="2">
        <v>45961.944990509262</v>
      </c>
    </row>
    <row r="12" spans="1:13">
      <c r="A12" s="12">
        <v>528</v>
      </c>
      <c r="B12" s="12">
        <v>6</v>
      </c>
      <c r="C12" s="12">
        <v>55</v>
      </c>
      <c r="D12" s="12" t="s">
        <v>11</v>
      </c>
      <c r="E12" s="14" t="s">
        <v>13</v>
      </c>
      <c r="F12">
        <v>1</v>
      </c>
      <c r="G12">
        <v>12</v>
      </c>
      <c r="H12">
        <v>0</v>
      </c>
      <c r="I12" t="s">
        <v>2</v>
      </c>
      <c r="J12" s="1">
        <v>45961.944991898148</v>
      </c>
      <c r="K12" t="s">
        <v>2</v>
      </c>
      <c r="L12" s="2">
        <v>45961.944991898148</v>
      </c>
      <c r="M12" s="2">
        <f>L12-L8</f>
        <v>1.7904513886605855E-2</v>
      </c>
    </row>
    <row r="13" spans="1:13">
      <c r="A13" s="12">
        <v>529</v>
      </c>
      <c r="B13" s="12">
        <v>5</v>
      </c>
      <c r="C13" s="12">
        <v>55</v>
      </c>
      <c r="D13" s="12" t="s">
        <v>9</v>
      </c>
      <c r="E13" s="14" t="s">
        <v>10</v>
      </c>
      <c r="F13">
        <v>1</v>
      </c>
      <c r="G13">
        <v>4</v>
      </c>
      <c r="H13">
        <v>0</v>
      </c>
      <c r="I13" t="s">
        <v>2</v>
      </c>
      <c r="J13" s="1">
        <v>45961.944996759259</v>
      </c>
      <c r="K13" t="s">
        <v>2</v>
      </c>
      <c r="L13" s="2">
        <v>45961.944996759259</v>
      </c>
      <c r="M13" s="2">
        <f>L13-L12</f>
        <v>4.8611109377816319E-6</v>
      </c>
    </row>
    <row r="14" spans="1:13">
      <c r="A14" s="12">
        <v>530</v>
      </c>
      <c r="B14" s="12">
        <v>5</v>
      </c>
      <c r="C14" s="12">
        <v>55</v>
      </c>
      <c r="D14" s="12" t="s">
        <v>9</v>
      </c>
      <c r="E14" s="14" t="s">
        <v>10</v>
      </c>
      <c r="F14">
        <v>1</v>
      </c>
      <c r="G14">
        <v>2</v>
      </c>
      <c r="H14">
        <v>0</v>
      </c>
      <c r="I14" t="s">
        <v>2</v>
      </c>
      <c r="J14" s="1">
        <v>45961.945035185185</v>
      </c>
      <c r="K14" t="s">
        <v>2</v>
      </c>
      <c r="L14" s="2">
        <v>45961.945035185185</v>
      </c>
    </row>
    <row r="15" spans="1:13">
      <c r="A15" s="12">
        <v>531</v>
      </c>
      <c r="B15" s="12">
        <v>6</v>
      </c>
      <c r="C15" s="12">
        <v>55</v>
      </c>
      <c r="D15" s="12" t="s">
        <v>11</v>
      </c>
      <c r="E15" s="14" t="s">
        <v>12</v>
      </c>
      <c r="F15">
        <v>1</v>
      </c>
      <c r="G15">
        <v>2</v>
      </c>
      <c r="H15">
        <v>0</v>
      </c>
      <c r="I15" t="s">
        <v>2</v>
      </c>
      <c r="J15" s="1">
        <v>45961.945107557869</v>
      </c>
      <c r="K15" t="s">
        <v>2</v>
      </c>
      <c r="L15" s="2">
        <v>45961.945107557869</v>
      </c>
    </row>
    <row r="16" spans="1:13">
      <c r="A16" s="12">
        <v>532</v>
      </c>
      <c r="B16" s="12">
        <v>6</v>
      </c>
      <c r="C16" s="12">
        <v>55</v>
      </c>
      <c r="D16" s="12" t="s">
        <v>11</v>
      </c>
      <c r="E16" s="14" t="s">
        <v>12</v>
      </c>
      <c r="F16">
        <v>1</v>
      </c>
      <c r="G16">
        <v>12</v>
      </c>
      <c r="H16">
        <v>0</v>
      </c>
      <c r="I16" t="s">
        <v>2</v>
      </c>
      <c r="J16" s="1">
        <v>45961.94510960648</v>
      </c>
      <c r="K16" t="s">
        <v>2</v>
      </c>
      <c r="L16" s="2">
        <v>45961.94510960648</v>
      </c>
    </row>
    <row r="17" spans="1:13">
      <c r="A17" s="12">
        <v>533</v>
      </c>
      <c r="B17" s="12">
        <v>6</v>
      </c>
      <c r="C17" s="12">
        <v>55</v>
      </c>
      <c r="D17" s="12" t="s">
        <v>11</v>
      </c>
      <c r="E17" s="14" t="s">
        <v>13</v>
      </c>
      <c r="F17">
        <v>1</v>
      </c>
      <c r="G17">
        <v>2</v>
      </c>
      <c r="H17">
        <v>0</v>
      </c>
      <c r="I17" t="s">
        <v>2</v>
      </c>
      <c r="J17" s="1">
        <v>45961.945124039354</v>
      </c>
      <c r="K17" t="s">
        <v>2</v>
      </c>
      <c r="L17" s="2">
        <v>45961.945124039354</v>
      </c>
    </row>
    <row r="18" spans="1:13">
      <c r="A18" s="12">
        <v>534</v>
      </c>
      <c r="B18" s="12">
        <v>6</v>
      </c>
      <c r="C18" s="12">
        <v>55</v>
      </c>
      <c r="D18" s="12" t="s">
        <v>11</v>
      </c>
      <c r="E18" s="14" t="s">
        <v>13</v>
      </c>
      <c r="F18">
        <v>1</v>
      </c>
      <c r="G18">
        <v>12</v>
      </c>
      <c r="H18">
        <v>0</v>
      </c>
      <c r="I18" t="s">
        <v>2</v>
      </c>
      <c r="J18" s="1">
        <v>45961.945126585648</v>
      </c>
      <c r="K18" t="s">
        <v>2</v>
      </c>
      <c r="L18" s="2">
        <v>45961.945126585648</v>
      </c>
      <c r="M18" s="2">
        <f>L18-L14</f>
        <v>9.1400463134050369E-5</v>
      </c>
    </row>
    <row r="19" spans="1:13">
      <c r="A19" s="12">
        <v>535</v>
      </c>
      <c r="B19" s="12">
        <v>5</v>
      </c>
      <c r="C19" s="12">
        <v>55</v>
      </c>
      <c r="D19" s="12" t="s">
        <v>9</v>
      </c>
      <c r="E19" s="14" t="s">
        <v>10</v>
      </c>
      <c r="F19">
        <v>1</v>
      </c>
      <c r="G19">
        <v>3</v>
      </c>
      <c r="H19">
        <v>0</v>
      </c>
      <c r="I19" t="s">
        <v>2</v>
      </c>
      <c r="J19" s="1">
        <v>45961.945130208333</v>
      </c>
      <c r="K19" t="s">
        <v>2</v>
      </c>
      <c r="L19" s="2">
        <v>45961.945130208333</v>
      </c>
      <c r="M19" s="2">
        <f>L19-L1</f>
        <v>7.5673645835195202E-2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5772-4960-4836-94C3-0A19416B5E9B}">
  <dimension ref="A1:L32"/>
  <sheetViews>
    <sheetView workbookViewId="0">
      <selection activeCell="A32" sqref="A32"/>
    </sheetView>
  </sheetViews>
  <sheetFormatPr defaultRowHeight="15"/>
  <cols>
    <col min="12" max="12" width="24.7109375" bestFit="1" customWidth="1"/>
  </cols>
  <sheetData>
    <row r="1" spans="1:12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  <c r="L1" s="15" t="s">
        <v>25</v>
      </c>
    </row>
    <row r="2" spans="1:12">
      <c r="A2" s="20">
        <v>1596</v>
      </c>
      <c r="B2" s="20">
        <v>1</v>
      </c>
      <c r="C2" s="20">
        <v>124</v>
      </c>
      <c r="D2" s="20" t="s">
        <v>0</v>
      </c>
      <c r="E2" s="20" t="s">
        <v>1</v>
      </c>
      <c r="F2" s="20">
        <v>1</v>
      </c>
      <c r="G2" s="20">
        <v>1</v>
      </c>
      <c r="H2" s="20" t="b">
        <v>0</v>
      </c>
      <c r="I2" s="20" t="s">
        <v>2</v>
      </c>
      <c r="J2" s="20" t="s">
        <v>26</v>
      </c>
      <c r="K2" s="20" t="s">
        <v>2</v>
      </c>
      <c r="L2" s="20" t="s">
        <v>26</v>
      </c>
    </row>
    <row r="3" spans="1:12">
      <c r="A3" s="20">
        <v>1606</v>
      </c>
      <c r="B3" s="20">
        <v>3</v>
      </c>
      <c r="C3" s="20">
        <v>124</v>
      </c>
      <c r="D3" s="20" t="s">
        <v>3</v>
      </c>
      <c r="E3" s="20" t="s">
        <v>4</v>
      </c>
      <c r="F3" s="20">
        <v>1</v>
      </c>
      <c r="G3" s="20">
        <v>2</v>
      </c>
      <c r="H3" s="20" t="b">
        <v>0</v>
      </c>
      <c r="I3" s="20" t="s">
        <v>2</v>
      </c>
      <c r="J3" s="20" t="s">
        <v>27</v>
      </c>
      <c r="K3" s="20" t="s">
        <v>2</v>
      </c>
      <c r="L3" s="20" t="s">
        <v>27</v>
      </c>
    </row>
    <row r="4" spans="1:12">
      <c r="A4" s="20">
        <v>1607</v>
      </c>
      <c r="B4" s="20">
        <v>3</v>
      </c>
      <c r="C4" s="20">
        <v>124</v>
      </c>
      <c r="D4" s="20" t="s">
        <v>3</v>
      </c>
      <c r="E4" s="20" t="s">
        <v>4</v>
      </c>
      <c r="F4" s="20">
        <v>1</v>
      </c>
      <c r="G4" s="20">
        <v>3</v>
      </c>
      <c r="H4" s="20" t="b">
        <v>0</v>
      </c>
      <c r="I4" s="20" t="s">
        <v>2</v>
      </c>
      <c r="J4" s="20" t="s">
        <v>28</v>
      </c>
      <c r="K4" s="20" t="s">
        <v>2</v>
      </c>
      <c r="L4" s="20" t="s">
        <v>28</v>
      </c>
    </row>
    <row r="5" spans="1:12">
      <c r="A5" s="20">
        <v>1608</v>
      </c>
      <c r="B5" s="20">
        <v>2</v>
      </c>
      <c r="C5" s="20">
        <v>124</v>
      </c>
      <c r="D5" s="20" t="s">
        <v>5</v>
      </c>
      <c r="E5" s="20" t="s">
        <v>6</v>
      </c>
      <c r="F5" s="20">
        <v>1</v>
      </c>
      <c r="G5" s="20">
        <v>2</v>
      </c>
      <c r="H5" s="20" t="b">
        <v>0</v>
      </c>
      <c r="I5" s="20" t="s">
        <v>2</v>
      </c>
      <c r="J5" s="20" t="s">
        <v>29</v>
      </c>
      <c r="K5" s="20" t="s">
        <v>2</v>
      </c>
      <c r="L5" s="20" t="s">
        <v>29</v>
      </c>
    </row>
    <row r="6" spans="1:12">
      <c r="A6" s="20">
        <v>1609</v>
      </c>
      <c r="B6" s="20">
        <v>2</v>
      </c>
      <c r="C6" s="20">
        <v>124</v>
      </c>
      <c r="D6" s="20" t="s">
        <v>5</v>
      </c>
      <c r="E6" s="20" t="s">
        <v>6</v>
      </c>
      <c r="F6" s="20">
        <v>1</v>
      </c>
      <c r="G6" s="20">
        <v>3</v>
      </c>
      <c r="H6" s="20" t="b">
        <v>0</v>
      </c>
      <c r="I6" s="20" t="s">
        <v>2</v>
      </c>
      <c r="J6" s="20" t="s">
        <v>30</v>
      </c>
      <c r="K6" s="20" t="s">
        <v>2</v>
      </c>
      <c r="L6" s="20" t="s">
        <v>30</v>
      </c>
    </row>
    <row r="7" spans="1:12">
      <c r="A7" s="20">
        <v>1672</v>
      </c>
      <c r="B7" s="20">
        <v>4</v>
      </c>
      <c r="C7" s="20">
        <v>124</v>
      </c>
      <c r="D7" s="20" t="s">
        <v>7</v>
      </c>
      <c r="E7" s="20" t="s">
        <v>8</v>
      </c>
      <c r="F7" s="20">
        <v>1</v>
      </c>
      <c r="G7" s="20">
        <v>2</v>
      </c>
      <c r="H7" s="20" t="b">
        <v>0</v>
      </c>
      <c r="I7" s="20" t="s">
        <v>2</v>
      </c>
      <c r="J7" s="20" t="s">
        <v>31</v>
      </c>
      <c r="K7" s="20" t="s">
        <v>2</v>
      </c>
      <c r="L7" s="20" t="s">
        <v>31</v>
      </c>
    </row>
    <row r="8" spans="1:12">
      <c r="A8" s="20">
        <v>1683</v>
      </c>
      <c r="B8" s="20">
        <v>4</v>
      </c>
      <c r="C8" s="20">
        <v>124</v>
      </c>
      <c r="D8" s="20" t="s">
        <v>7</v>
      </c>
      <c r="E8" s="20" t="s">
        <v>8</v>
      </c>
      <c r="F8" s="20">
        <v>1</v>
      </c>
      <c r="G8" s="20">
        <v>3</v>
      </c>
      <c r="H8" s="20" t="b">
        <v>0</v>
      </c>
      <c r="I8" s="20" t="s">
        <v>2</v>
      </c>
      <c r="J8" s="20" t="s">
        <v>32</v>
      </c>
      <c r="K8" s="20" t="s">
        <v>2</v>
      </c>
      <c r="L8" s="20" t="s">
        <v>32</v>
      </c>
    </row>
    <row r="9" spans="1:12">
      <c r="A9" s="20">
        <v>1709</v>
      </c>
      <c r="B9" s="20">
        <v>5</v>
      </c>
      <c r="C9" s="20">
        <v>124</v>
      </c>
      <c r="D9" s="20" t="s">
        <v>9</v>
      </c>
      <c r="E9" s="20" t="s">
        <v>10</v>
      </c>
      <c r="F9" s="20">
        <v>1</v>
      </c>
      <c r="G9" s="20">
        <v>2</v>
      </c>
      <c r="H9" s="20" t="b">
        <v>0</v>
      </c>
      <c r="I9" s="20" t="s">
        <v>2</v>
      </c>
      <c r="J9" s="20" t="s">
        <v>33</v>
      </c>
      <c r="K9" s="20" t="s">
        <v>2</v>
      </c>
      <c r="L9" s="20" t="s">
        <v>33</v>
      </c>
    </row>
    <row r="10" spans="1:12">
      <c r="A10" s="20">
        <v>1710</v>
      </c>
      <c r="B10" s="20">
        <v>5</v>
      </c>
      <c r="C10" s="20">
        <v>124</v>
      </c>
      <c r="D10" s="20" t="s">
        <v>9</v>
      </c>
      <c r="E10" s="20" t="s">
        <v>10</v>
      </c>
      <c r="F10" s="20">
        <v>1</v>
      </c>
      <c r="G10" s="20">
        <v>2</v>
      </c>
      <c r="H10" s="20" t="b">
        <v>0</v>
      </c>
      <c r="I10" s="20" t="s">
        <v>2</v>
      </c>
      <c r="J10" s="20" t="s">
        <v>34</v>
      </c>
      <c r="K10" s="20" t="s">
        <v>2</v>
      </c>
      <c r="L10" s="20" t="s">
        <v>34</v>
      </c>
    </row>
    <row r="11" spans="1:12">
      <c r="A11" s="20">
        <v>1711</v>
      </c>
      <c r="B11" s="20">
        <v>6</v>
      </c>
      <c r="C11" s="20">
        <v>124</v>
      </c>
      <c r="D11" s="20" t="s">
        <v>11</v>
      </c>
      <c r="E11" s="20" t="s">
        <v>35</v>
      </c>
      <c r="F11" s="20">
        <v>1</v>
      </c>
      <c r="G11" s="20">
        <v>2</v>
      </c>
      <c r="H11" s="20" t="b">
        <v>0</v>
      </c>
      <c r="I11" s="20" t="s">
        <v>2</v>
      </c>
      <c r="J11" s="20" t="s">
        <v>36</v>
      </c>
      <c r="K11" s="20" t="s">
        <v>2</v>
      </c>
      <c r="L11" s="20" t="s">
        <v>36</v>
      </c>
    </row>
    <row r="12" spans="1:12">
      <c r="A12" s="20">
        <v>1712</v>
      </c>
      <c r="B12" s="20">
        <v>6</v>
      </c>
      <c r="C12" s="20">
        <v>124</v>
      </c>
      <c r="D12" s="20" t="s">
        <v>11</v>
      </c>
      <c r="E12" s="20" t="s">
        <v>35</v>
      </c>
      <c r="F12" s="20">
        <v>1</v>
      </c>
      <c r="G12" s="20">
        <v>12</v>
      </c>
      <c r="H12" s="20" t="b">
        <v>0</v>
      </c>
      <c r="I12" s="20" t="s">
        <v>2</v>
      </c>
      <c r="J12" s="20" t="s">
        <v>37</v>
      </c>
      <c r="K12" s="20" t="s">
        <v>2</v>
      </c>
      <c r="L12" s="20" t="s">
        <v>37</v>
      </c>
    </row>
    <row r="13" spans="1:12">
      <c r="A13" s="21">
        <v>1713</v>
      </c>
      <c r="B13" s="21">
        <v>6</v>
      </c>
      <c r="C13" s="21">
        <v>124</v>
      </c>
      <c r="D13" s="21" t="s">
        <v>11</v>
      </c>
      <c r="E13" s="21" t="s">
        <v>13</v>
      </c>
      <c r="F13" s="21">
        <v>1</v>
      </c>
      <c r="G13" s="21">
        <v>2</v>
      </c>
      <c r="H13" s="21" t="b">
        <v>0</v>
      </c>
      <c r="I13" s="21" t="s">
        <v>2</v>
      </c>
      <c r="J13" s="21" t="s">
        <v>38</v>
      </c>
      <c r="K13" s="21" t="s">
        <v>2</v>
      </c>
      <c r="L13" s="21" t="s">
        <v>38</v>
      </c>
    </row>
    <row r="14" spans="1:12">
      <c r="A14" s="20">
        <v>1714</v>
      </c>
      <c r="B14" s="20">
        <v>6</v>
      </c>
      <c r="C14" s="20">
        <v>124</v>
      </c>
      <c r="D14" s="20" t="s">
        <v>11</v>
      </c>
      <c r="E14" s="20" t="s">
        <v>13</v>
      </c>
      <c r="F14" s="20">
        <v>1</v>
      </c>
      <c r="G14" s="20">
        <v>12</v>
      </c>
      <c r="H14" s="20" t="b">
        <v>0</v>
      </c>
      <c r="I14" s="20" t="s">
        <v>2</v>
      </c>
      <c r="J14" s="20" t="s">
        <v>39</v>
      </c>
      <c r="K14" s="20" t="s">
        <v>2</v>
      </c>
      <c r="L14" s="20" t="s">
        <v>39</v>
      </c>
    </row>
    <row r="15" spans="1:12">
      <c r="A15" s="20">
        <v>1715</v>
      </c>
      <c r="B15" s="20">
        <v>5</v>
      </c>
      <c r="C15" s="20">
        <v>124</v>
      </c>
      <c r="D15" s="20" t="s">
        <v>9</v>
      </c>
      <c r="E15" s="20" t="s">
        <v>10</v>
      </c>
      <c r="F15" s="20">
        <v>1</v>
      </c>
      <c r="G15" s="20">
        <v>3</v>
      </c>
      <c r="H15" s="20" t="b">
        <v>0</v>
      </c>
      <c r="I15" s="20" t="s">
        <v>2</v>
      </c>
      <c r="J15" s="20" t="s">
        <v>40</v>
      </c>
      <c r="K15" s="20" t="s">
        <v>2</v>
      </c>
      <c r="L15" s="20" t="s">
        <v>40</v>
      </c>
    </row>
    <row r="16" spans="1:12">
      <c r="A16" s="17"/>
    </row>
    <row r="18" spans="1:12">
      <c r="A18" s="15" t="s">
        <v>14</v>
      </c>
      <c r="B18" s="15" t="s">
        <v>15</v>
      </c>
      <c r="C18" s="15" t="s">
        <v>16</v>
      </c>
      <c r="D18" s="15" t="s">
        <v>17</v>
      </c>
      <c r="E18" s="15" t="s">
        <v>18</v>
      </c>
      <c r="F18" s="15" t="s">
        <v>19</v>
      </c>
      <c r="G18" s="15" t="s">
        <v>20</v>
      </c>
      <c r="H18" s="15" t="s">
        <v>21</v>
      </c>
      <c r="I18" s="15" t="s">
        <v>22</v>
      </c>
      <c r="J18" s="15" t="s">
        <v>23</v>
      </c>
      <c r="K18" s="15" t="s">
        <v>24</v>
      </c>
      <c r="L18" s="15" t="s">
        <v>25</v>
      </c>
    </row>
    <row r="19" spans="1:12">
      <c r="A19" s="20">
        <v>1595</v>
      </c>
      <c r="B19" s="20">
        <v>1</v>
      </c>
      <c r="C19" s="20">
        <v>123</v>
      </c>
      <c r="D19" s="20" t="s">
        <v>0</v>
      </c>
      <c r="E19" s="20" t="s">
        <v>1</v>
      </c>
      <c r="F19" s="20">
        <v>1</v>
      </c>
      <c r="G19" s="20">
        <v>1</v>
      </c>
      <c r="H19" s="20" t="b">
        <v>0</v>
      </c>
      <c r="I19" s="20" t="s">
        <v>2</v>
      </c>
      <c r="J19" s="20" t="s">
        <v>41</v>
      </c>
      <c r="K19" s="20" t="s">
        <v>2</v>
      </c>
      <c r="L19" s="20" t="s">
        <v>41</v>
      </c>
    </row>
    <row r="20" spans="1:12">
      <c r="A20" s="20">
        <v>1598</v>
      </c>
      <c r="B20" s="20">
        <v>3</v>
      </c>
      <c r="C20" s="20">
        <v>123</v>
      </c>
      <c r="D20" s="20" t="s">
        <v>3</v>
      </c>
      <c r="E20" s="20" t="s">
        <v>4</v>
      </c>
      <c r="F20" s="20">
        <v>1</v>
      </c>
      <c r="G20" s="20">
        <v>2</v>
      </c>
      <c r="H20" s="20" t="b">
        <v>0</v>
      </c>
      <c r="I20" s="20" t="s">
        <v>2</v>
      </c>
      <c r="J20" s="20" t="s">
        <v>42</v>
      </c>
      <c r="K20" s="20" t="s">
        <v>2</v>
      </c>
      <c r="L20" s="20" t="s">
        <v>42</v>
      </c>
    </row>
    <row r="21" spans="1:12">
      <c r="A21" s="20">
        <v>1599</v>
      </c>
      <c r="B21" s="20">
        <v>3</v>
      </c>
      <c r="C21" s="20">
        <v>123</v>
      </c>
      <c r="D21" s="20" t="s">
        <v>3</v>
      </c>
      <c r="E21" s="20" t="s">
        <v>4</v>
      </c>
      <c r="F21" s="20">
        <v>1</v>
      </c>
      <c r="G21" s="20">
        <v>3</v>
      </c>
      <c r="H21" s="20" t="b">
        <v>0</v>
      </c>
      <c r="I21" s="20" t="s">
        <v>2</v>
      </c>
      <c r="J21" s="20" t="s">
        <v>43</v>
      </c>
      <c r="K21" s="20" t="s">
        <v>2</v>
      </c>
      <c r="L21" s="20" t="s">
        <v>43</v>
      </c>
    </row>
    <row r="22" spans="1:12">
      <c r="A22" s="20">
        <v>1602</v>
      </c>
      <c r="B22" s="20">
        <v>2</v>
      </c>
      <c r="C22" s="20">
        <v>123</v>
      </c>
      <c r="D22" s="20" t="s">
        <v>5</v>
      </c>
      <c r="E22" s="20" t="s">
        <v>6</v>
      </c>
      <c r="F22" s="20">
        <v>1</v>
      </c>
      <c r="G22" s="20">
        <v>2</v>
      </c>
      <c r="H22" s="20" t="b">
        <v>0</v>
      </c>
      <c r="I22" s="20" t="s">
        <v>2</v>
      </c>
      <c r="J22" s="20" t="s">
        <v>44</v>
      </c>
      <c r="K22" s="20" t="s">
        <v>2</v>
      </c>
      <c r="L22" s="20" t="s">
        <v>44</v>
      </c>
    </row>
    <row r="23" spans="1:12">
      <c r="A23" s="20">
        <v>1605</v>
      </c>
      <c r="B23" s="20">
        <v>2</v>
      </c>
      <c r="C23" s="20">
        <v>123</v>
      </c>
      <c r="D23" s="20" t="s">
        <v>5</v>
      </c>
      <c r="E23" s="20" t="s">
        <v>6</v>
      </c>
      <c r="F23" s="20">
        <v>1</v>
      </c>
      <c r="G23" s="20">
        <v>3</v>
      </c>
      <c r="H23" s="20" t="b">
        <v>0</v>
      </c>
      <c r="I23" s="20" t="s">
        <v>2</v>
      </c>
      <c r="J23" s="20" t="s">
        <v>45</v>
      </c>
      <c r="K23" s="20" t="s">
        <v>2</v>
      </c>
      <c r="L23" s="20" t="s">
        <v>45</v>
      </c>
    </row>
    <row r="24" spans="1:12">
      <c r="A24" s="20">
        <v>1628</v>
      </c>
      <c r="B24" s="20">
        <v>4</v>
      </c>
      <c r="C24" s="20">
        <v>123</v>
      </c>
      <c r="D24" s="20" t="s">
        <v>7</v>
      </c>
      <c r="E24" s="20" t="s">
        <v>8</v>
      </c>
      <c r="F24" s="20">
        <v>1</v>
      </c>
      <c r="G24" s="20">
        <v>2</v>
      </c>
      <c r="H24" s="20" t="b">
        <v>0</v>
      </c>
      <c r="I24" s="20" t="s">
        <v>2</v>
      </c>
      <c r="J24" s="20" t="s">
        <v>46</v>
      </c>
      <c r="K24" s="20" t="s">
        <v>2</v>
      </c>
      <c r="L24" s="20" t="s">
        <v>46</v>
      </c>
    </row>
    <row r="25" spans="1:12">
      <c r="A25" s="20">
        <v>1671</v>
      </c>
      <c r="B25" s="20">
        <v>4</v>
      </c>
      <c r="C25" s="20">
        <v>123</v>
      </c>
      <c r="D25" s="20" t="s">
        <v>7</v>
      </c>
      <c r="E25" s="20" t="s">
        <v>8</v>
      </c>
      <c r="F25" s="20">
        <v>1</v>
      </c>
      <c r="G25" s="20">
        <v>3</v>
      </c>
      <c r="H25" s="20" t="b">
        <v>0</v>
      </c>
      <c r="I25" s="20" t="s">
        <v>2</v>
      </c>
      <c r="J25" s="20" t="s">
        <v>47</v>
      </c>
      <c r="K25" s="20" t="s">
        <v>2</v>
      </c>
      <c r="L25" s="20" t="s">
        <v>47</v>
      </c>
    </row>
    <row r="26" spans="1:12">
      <c r="A26" s="20">
        <v>1674</v>
      </c>
      <c r="B26" s="20">
        <v>5</v>
      </c>
      <c r="C26" s="20">
        <v>123</v>
      </c>
      <c r="D26" s="20" t="s">
        <v>9</v>
      </c>
      <c r="E26" s="20" t="s">
        <v>10</v>
      </c>
      <c r="F26" s="20">
        <v>1</v>
      </c>
      <c r="G26" s="20">
        <v>2</v>
      </c>
      <c r="H26" s="20" t="b">
        <v>0</v>
      </c>
      <c r="I26" s="20" t="s">
        <v>2</v>
      </c>
      <c r="J26" s="20" t="s">
        <v>48</v>
      </c>
      <c r="K26" s="20" t="s">
        <v>2</v>
      </c>
      <c r="L26" s="20" t="s">
        <v>48</v>
      </c>
    </row>
    <row r="27" spans="1:12">
      <c r="A27" s="20">
        <v>1704</v>
      </c>
      <c r="B27" s="20">
        <v>6</v>
      </c>
      <c r="C27" s="20">
        <v>123</v>
      </c>
      <c r="D27" s="20" t="s">
        <v>11</v>
      </c>
      <c r="E27" s="20" t="s">
        <v>35</v>
      </c>
      <c r="F27" s="20">
        <v>1</v>
      </c>
      <c r="G27" s="20">
        <v>2</v>
      </c>
      <c r="H27" s="20" t="b">
        <v>0</v>
      </c>
      <c r="I27" s="20" t="s">
        <v>2</v>
      </c>
      <c r="J27" s="20" t="s">
        <v>49</v>
      </c>
      <c r="K27" s="20" t="s">
        <v>2</v>
      </c>
      <c r="L27" s="20" t="s">
        <v>49</v>
      </c>
    </row>
    <row r="28" spans="1:12">
      <c r="A28" s="20">
        <v>1705</v>
      </c>
      <c r="B28" s="20">
        <v>6</v>
      </c>
      <c r="C28" s="20">
        <v>123</v>
      </c>
      <c r="D28" s="20" t="s">
        <v>11</v>
      </c>
      <c r="E28" s="20" t="s">
        <v>35</v>
      </c>
      <c r="F28" s="20">
        <v>1</v>
      </c>
      <c r="G28" s="20">
        <v>12</v>
      </c>
      <c r="H28" s="20" t="b">
        <v>0</v>
      </c>
      <c r="I28" s="20" t="s">
        <v>2</v>
      </c>
      <c r="J28" s="20" t="s">
        <v>50</v>
      </c>
      <c r="K28" s="20" t="s">
        <v>2</v>
      </c>
      <c r="L28" s="20" t="s">
        <v>50</v>
      </c>
    </row>
    <row r="29" spans="1:12">
      <c r="A29" s="20">
        <v>1706</v>
      </c>
      <c r="B29" s="20">
        <v>6</v>
      </c>
      <c r="C29" s="20">
        <v>123</v>
      </c>
      <c r="D29" s="20" t="s">
        <v>11</v>
      </c>
      <c r="E29" s="20" t="s">
        <v>13</v>
      </c>
      <c r="F29" s="20">
        <v>1</v>
      </c>
      <c r="G29" s="20">
        <v>2</v>
      </c>
      <c r="H29" s="20" t="b">
        <v>0</v>
      </c>
      <c r="I29" s="20" t="s">
        <v>2</v>
      </c>
      <c r="J29" s="20" t="s">
        <v>51</v>
      </c>
      <c r="K29" s="20" t="s">
        <v>2</v>
      </c>
      <c r="L29" s="20" t="s">
        <v>51</v>
      </c>
    </row>
    <row r="30" spans="1:12">
      <c r="A30" s="20">
        <v>1707</v>
      </c>
      <c r="B30" s="20">
        <v>6</v>
      </c>
      <c r="C30" s="20">
        <v>123</v>
      </c>
      <c r="D30" s="20" t="s">
        <v>11</v>
      </c>
      <c r="E30" s="20" t="s">
        <v>13</v>
      </c>
      <c r="F30" s="20">
        <v>1</v>
      </c>
      <c r="G30" s="20">
        <v>12</v>
      </c>
      <c r="H30" s="20" t="b">
        <v>0</v>
      </c>
      <c r="I30" s="20" t="s">
        <v>2</v>
      </c>
      <c r="J30" s="20" t="s">
        <v>52</v>
      </c>
      <c r="K30" s="20" t="s">
        <v>2</v>
      </c>
      <c r="L30" s="20" t="s">
        <v>52</v>
      </c>
    </row>
    <row r="31" spans="1:12">
      <c r="A31" s="20">
        <v>1708</v>
      </c>
      <c r="B31" s="20">
        <v>5</v>
      </c>
      <c r="C31" s="20">
        <v>123</v>
      </c>
      <c r="D31" s="20" t="s">
        <v>9</v>
      </c>
      <c r="E31" s="20" t="s">
        <v>10</v>
      </c>
      <c r="F31" s="20">
        <v>1</v>
      </c>
      <c r="G31" s="20">
        <v>3</v>
      </c>
      <c r="H31" s="20" t="b">
        <v>0</v>
      </c>
      <c r="I31" s="20" t="s">
        <v>2</v>
      </c>
      <c r="J31" s="20" t="s">
        <v>53</v>
      </c>
      <c r="K31" s="20" t="s">
        <v>2</v>
      </c>
      <c r="L31" s="20" t="s">
        <v>53</v>
      </c>
    </row>
    <row r="32" spans="1:12">
      <c r="A32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4A29-1A1A-4365-ADE6-B3A1F2A038AC}">
  <dimension ref="A1:O37"/>
  <sheetViews>
    <sheetView workbookViewId="0">
      <pane xSplit="1" topLeftCell="B3" activePane="topRight" state="frozen"/>
      <selection pane="topRight" activeCell="B21" sqref="B21"/>
    </sheetView>
  </sheetViews>
  <sheetFormatPr defaultRowHeight="15"/>
  <cols>
    <col min="1" max="1" width="25.42578125" customWidth="1"/>
    <col min="5" max="5" width="15.28515625" bestFit="1" customWidth="1"/>
    <col min="6" max="6" width="64" bestFit="1" customWidth="1"/>
    <col min="11" max="11" width="27.5703125" style="3" customWidth="1"/>
    <col min="12" max="12" width="12.42578125" bestFit="1" customWidth="1"/>
    <col min="13" max="13" width="29" style="3" customWidth="1"/>
    <col min="14" max="14" width="31.7109375" style="10" customWidth="1"/>
    <col min="15" max="15" width="23.42578125" bestFit="1" customWidth="1"/>
  </cols>
  <sheetData>
    <row r="1" spans="1:15">
      <c r="A1" s="4" t="s">
        <v>54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5" t="s">
        <v>23</v>
      </c>
      <c r="L1" s="4" t="s">
        <v>24</v>
      </c>
      <c r="M1" s="5" t="s">
        <v>25</v>
      </c>
      <c r="N1" s="9" t="s">
        <v>55</v>
      </c>
    </row>
    <row r="2" spans="1:15">
      <c r="A2" s="6" t="s">
        <v>56</v>
      </c>
      <c r="B2">
        <f>B22</f>
        <v>1595</v>
      </c>
      <c r="C2">
        <f t="shared" ref="C2:M2" si="0">C22</f>
        <v>1</v>
      </c>
      <c r="D2">
        <f t="shared" si="0"/>
        <v>123</v>
      </c>
      <c r="E2" t="str">
        <f t="shared" si="0"/>
        <v>CREATE_JOB</v>
      </c>
      <c r="F2" t="str">
        <f t="shared" si="0"/>
        <v>Log Request to BP Request Header table and Create Job</v>
      </c>
      <c r="G2">
        <f t="shared" si="0"/>
        <v>1</v>
      </c>
      <c r="H2">
        <f t="shared" si="0"/>
        <v>1</v>
      </c>
      <c r="I2">
        <f t="shared" si="0"/>
        <v>0</v>
      </c>
      <c r="J2" t="str">
        <f t="shared" si="0"/>
        <v>System</v>
      </c>
      <c r="K2" s="3">
        <f t="shared" si="0"/>
        <v>46329.557060185187</v>
      </c>
      <c r="L2" t="str">
        <f t="shared" si="0"/>
        <v>System</v>
      </c>
      <c r="M2" s="3">
        <f t="shared" si="0"/>
        <v>46329.557060185187</v>
      </c>
      <c r="N2" s="11"/>
    </row>
    <row r="3" spans="1:15">
      <c r="A3" s="7" t="s">
        <v>57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9">
        <f>M4-M2</f>
        <v>1.9791666636592709E-3</v>
      </c>
      <c r="O3" s="3"/>
    </row>
    <row r="4" spans="1:15">
      <c r="A4" s="29" t="s">
        <v>58</v>
      </c>
      <c r="B4">
        <f>B23</f>
        <v>1598</v>
      </c>
      <c r="C4">
        <f t="shared" ref="C4:M4" si="1">C23</f>
        <v>3</v>
      </c>
      <c r="D4">
        <f t="shared" si="1"/>
        <v>123</v>
      </c>
      <c r="E4" t="str">
        <f t="shared" si="1"/>
        <v>LOAD_TO_BLOB</v>
      </c>
      <c r="F4" t="str">
        <f t="shared" si="1"/>
        <v>GDC.CM_LoadData Webjob - Input file upload blob storage</v>
      </c>
      <c r="G4">
        <f t="shared" si="1"/>
        <v>1</v>
      </c>
      <c r="H4">
        <f t="shared" si="1"/>
        <v>2</v>
      </c>
      <c r="I4">
        <f t="shared" si="1"/>
        <v>0</v>
      </c>
      <c r="J4" t="str">
        <f t="shared" si="1"/>
        <v>System</v>
      </c>
      <c r="K4" s="3">
        <f t="shared" si="1"/>
        <v>46329.559039351851</v>
      </c>
      <c r="L4" t="str">
        <f t="shared" si="1"/>
        <v>System</v>
      </c>
      <c r="M4" s="3">
        <f t="shared" si="1"/>
        <v>46329.559039351851</v>
      </c>
      <c r="N4" s="30">
        <f>M7-M4</f>
        <v>9.2592592409346253E-5</v>
      </c>
      <c r="O4" s="24"/>
    </row>
    <row r="5" spans="1:15">
      <c r="A5" s="29"/>
      <c r="B5">
        <f t="shared" ref="B5:M7" si="2">B24</f>
        <v>1599</v>
      </c>
      <c r="C5">
        <f t="shared" si="2"/>
        <v>3</v>
      </c>
      <c r="D5">
        <f t="shared" si="2"/>
        <v>123</v>
      </c>
      <c r="E5" t="str">
        <f t="shared" si="2"/>
        <v>LOAD_TO_BLOB</v>
      </c>
      <c r="F5" t="str">
        <f t="shared" si="2"/>
        <v>GDC.CM_LoadData Webjob - Input file upload blob storage</v>
      </c>
      <c r="G5">
        <f t="shared" si="2"/>
        <v>1</v>
      </c>
      <c r="H5">
        <f t="shared" si="2"/>
        <v>3</v>
      </c>
      <c r="I5">
        <f t="shared" si="2"/>
        <v>0</v>
      </c>
      <c r="J5" t="str">
        <f t="shared" si="2"/>
        <v>System</v>
      </c>
      <c r="K5" s="3">
        <f t="shared" si="2"/>
        <v>46329.559050925927</v>
      </c>
      <c r="L5" t="str">
        <f t="shared" si="2"/>
        <v>System</v>
      </c>
      <c r="M5" s="3">
        <f t="shared" si="2"/>
        <v>46329.559050925927</v>
      </c>
      <c r="N5" s="31"/>
      <c r="O5" s="25"/>
    </row>
    <row r="6" spans="1:15">
      <c r="A6" s="29"/>
      <c r="B6">
        <f t="shared" si="2"/>
        <v>1602</v>
      </c>
      <c r="C6">
        <f t="shared" si="2"/>
        <v>2</v>
      </c>
      <c r="D6">
        <f t="shared" si="2"/>
        <v>123</v>
      </c>
      <c r="E6" t="str">
        <f t="shared" si="2"/>
        <v>LOAD_TO_STG</v>
      </c>
      <c r="F6" t="str">
        <f t="shared" si="2"/>
        <v>GDC.CM_LoadData Webjob - Load data to staging tables</v>
      </c>
      <c r="G6">
        <f t="shared" si="2"/>
        <v>1</v>
      </c>
      <c r="H6">
        <f t="shared" si="2"/>
        <v>2</v>
      </c>
      <c r="I6">
        <f t="shared" si="2"/>
        <v>0</v>
      </c>
      <c r="J6" t="str">
        <f t="shared" si="2"/>
        <v>System</v>
      </c>
      <c r="K6" s="3">
        <f t="shared" si="2"/>
        <v>46329.559050925927</v>
      </c>
      <c r="L6" t="str">
        <f t="shared" si="2"/>
        <v>System</v>
      </c>
      <c r="M6" s="3">
        <f t="shared" si="2"/>
        <v>46329.559050925927</v>
      </c>
      <c r="N6" s="31"/>
      <c r="O6" s="25"/>
    </row>
    <row r="7" spans="1:15">
      <c r="A7" s="29"/>
      <c r="B7">
        <f t="shared" si="2"/>
        <v>1605</v>
      </c>
      <c r="C7">
        <f t="shared" si="2"/>
        <v>2</v>
      </c>
      <c r="D7">
        <f t="shared" si="2"/>
        <v>123</v>
      </c>
      <c r="E7" t="str">
        <f t="shared" si="2"/>
        <v>LOAD_TO_STG</v>
      </c>
      <c r="F7" t="str">
        <f t="shared" si="2"/>
        <v>GDC.CM_LoadData Webjob - Load data to staging tables</v>
      </c>
      <c r="G7">
        <f t="shared" si="2"/>
        <v>1</v>
      </c>
      <c r="H7">
        <f t="shared" si="2"/>
        <v>3</v>
      </c>
      <c r="I7">
        <f t="shared" si="2"/>
        <v>0</v>
      </c>
      <c r="J7" t="str">
        <f t="shared" si="2"/>
        <v>System</v>
      </c>
      <c r="K7" s="3">
        <f t="shared" si="2"/>
        <v>46329.559131944443</v>
      </c>
      <c r="L7" t="str">
        <f t="shared" si="2"/>
        <v>System</v>
      </c>
      <c r="M7" s="3">
        <f t="shared" si="2"/>
        <v>46329.559131944443</v>
      </c>
      <c r="N7" s="33"/>
      <c r="O7" s="25"/>
    </row>
    <row r="8" spans="1:15">
      <c r="A8" s="7" t="s">
        <v>57</v>
      </c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  <c r="N8" s="9">
        <f>M9-M7</f>
        <v>3.4490740727051161E-3</v>
      </c>
      <c r="O8" s="3"/>
    </row>
    <row r="9" spans="1:15">
      <c r="A9" s="29" t="s">
        <v>59</v>
      </c>
      <c r="B9">
        <f>B27</f>
        <v>1628</v>
      </c>
      <c r="C9">
        <f t="shared" ref="C9:M10" si="3">C27</f>
        <v>4</v>
      </c>
      <c r="D9">
        <f t="shared" si="3"/>
        <v>123</v>
      </c>
      <c r="E9" t="str">
        <f t="shared" si="3"/>
        <v>DATA_VALIDATE</v>
      </c>
      <c r="F9" t="str">
        <f t="shared" si="3"/>
        <v>GDC.CM_ValidateData. Validate the case creation request received</v>
      </c>
      <c r="G9">
        <f t="shared" si="3"/>
        <v>1</v>
      </c>
      <c r="H9">
        <f t="shared" si="3"/>
        <v>2</v>
      </c>
      <c r="I9">
        <f t="shared" si="3"/>
        <v>0</v>
      </c>
      <c r="J9" t="str">
        <f t="shared" si="3"/>
        <v>System</v>
      </c>
      <c r="K9" s="3">
        <f t="shared" si="3"/>
        <v>46329.562581018516</v>
      </c>
      <c r="L9" t="str">
        <f t="shared" si="3"/>
        <v>System</v>
      </c>
      <c r="M9" s="3">
        <f t="shared" si="3"/>
        <v>46329.562581018516</v>
      </c>
      <c r="N9" s="30">
        <f>M10-M9</f>
        <v>2.8159722227428574E-2</v>
      </c>
    </row>
    <row r="10" spans="1:15">
      <c r="A10" s="34"/>
      <c r="B10">
        <f>B28</f>
        <v>1671</v>
      </c>
      <c r="C10">
        <f t="shared" si="3"/>
        <v>4</v>
      </c>
      <c r="D10">
        <f t="shared" si="3"/>
        <v>123</v>
      </c>
      <c r="E10" t="str">
        <f t="shared" si="3"/>
        <v>DATA_VALIDATE</v>
      </c>
      <c r="F10" t="str">
        <f t="shared" si="3"/>
        <v>GDC.CM_ValidateData. Validate the case creation request received</v>
      </c>
      <c r="G10">
        <f t="shared" si="3"/>
        <v>1</v>
      </c>
      <c r="H10">
        <f t="shared" si="3"/>
        <v>3</v>
      </c>
      <c r="I10">
        <f t="shared" si="3"/>
        <v>0</v>
      </c>
      <c r="J10" t="str">
        <f t="shared" si="3"/>
        <v>System</v>
      </c>
      <c r="K10" s="3">
        <f t="shared" si="3"/>
        <v>46329.590740740743</v>
      </c>
      <c r="L10" t="str">
        <f t="shared" si="3"/>
        <v>System</v>
      </c>
      <c r="M10" s="3">
        <f>M28</f>
        <v>46329.590740740743</v>
      </c>
      <c r="N10" s="33"/>
      <c r="O10" s="3"/>
    </row>
    <row r="11" spans="1:15">
      <c r="A11" s="7" t="s">
        <v>57</v>
      </c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9">
        <f>M12-M10</f>
        <v>3.0208333337213844E-3</v>
      </c>
    </row>
    <row r="12" spans="1:15">
      <c r="A12" s="29" t="s">
        <v>60</v>
      </c>
      <c r="B12">
        <f>B29</f>
        <v>1674</v>
      </c>
      <c r="C12">
        <f t="shared" ref="C12:M12" si="4">C29</f>
        <v>5</v>
      </c>
      <c r="D12">
        <f t="shared" si="4"/>
        <v>123</v>
      </c>
      <c r="E12" t="str">
        <f t="shared" si="4"/>
        <v>CREATE_CASE</v>
      </c>
      <c r="F12" t="str">
        <f t="shared" si="4"/>
        <v>GDC.CM_CreateCase.Create Cases at EYMP - Case Created Successfully</v>
      </c>
      <c r="G12">
        <f t="shared" si="4"/>
        <v>1</v>
      </c>
      <c r="H12">
        <f t="shared" si="4"/>
        <v>2</v>
      </c>
      <c r="I12">
        <f t="shared" si="4"/>
        <v>0</v>
      </c>
      <c r="J12" t="str">
        <f t="shared" si="4"/>
        <v>System</v>
      </c>
      <c r="K12" s="3">
        <f t="shared" si="4"/>
        <v>46329.593761574077</v>
      </c>
      <c r="L12" t="str">
        <f t="shared" si="4"/>
        <v>System</v>
      </c>
      <c r="M12" s="3">
        <f t="shared" si="4"/>
        <v>46329.593761574077</v>
      </c>
      <c r="N12" s="30">
        <f>M17-M12</f>
        <v>2.5509259256068617E-2</v>
      </c>
    </row>
    <row r="13" spans="1:15">
      <c r="A13" s="29"/>
      <c r="B13">
        <f>B30</f>
        <v>1704</v>
      </c>
      <c r="C13">
        <f>C30</f>
        <v>6</v>
      </c>
      <c r="D13">
        <f>D30</f>
        <v>123</v>
      </c>
      <c r="E13" t="str">
        <f>E30</f>
        <v>CREATE_REPORT</v>
      </c>
      <c r="F13" t="str">
        <f>F30</f>
        <v>GDC.CM_CreateCase.Create Report from Staging table  as Json</v>
      </c>
      <c r="G13">
        <f>G30</f>
        <v>1</v>
      </c>
      <c r="H13">
        <f>H30</f>
        <v>2</v>
      </c>
      <c r="I13">
        <f>I30</f>
        <v>0</v>
      </c>
      <c r="J13" t="str">
        <f>J30</f>
        <v>System</v>
      </c>
      <c r="K13" s="3">
        <f>K30</f>
        <v>46329.61922453704</v>
      </c>
      <c r="L13" t="str">
        <f>L30</f>
        <v>System</v>
      </c>
      <c r="M13" s="3">
        <f>M30</f>
        <v>46329.61922453704</v>
      </c>
      <c r="N13" s="31"/>
    </row>
    <row r="14" spans="1:15">
      <c r="A14" s="29"/>
      <c r="B14">
        <f>B31</f>
        <v>1705</v>
      </c>
      <c r="C14">
        <f>C31</f>
        <v>6</v>
      </c>
      <c r="D14">
        <f>D31</f>
        <v>123</v>
      </c>
      <c r="E14" t="str">
        <f>E31</f>
        <v>CREATE_REPORT</v>
      </c>
      <c r="F14" t="str">
        <f>F31</f>
        <v>GDC.CM_CreateCase.Create Report from Staging table  as Json</v>
      </c>
      <c r="G14">
        <f>G31</f>
        <v>1</v>
      </c>
      <c r="H14">
        <f>H31</f>
        <v>12</v>
      </c>
      <c r="I14">
        <f>I31</f>
        <v>0</v>
      </c>
      <c r="J14" t="str">
        <f>J31</f>
        <v>System</v>
      </c>
      <c r="K14" s="3">
        <f>K31</f>
        <v>46329.61923611111</v>
      </c>
      <c r="L14" t="str">
        <f>L31</f>
        <v>System</v>
      </c>
      <c r="M14" s="3">
        <f>M31</f>
        <v>46329.61923611111</v>
      </c>
      <c r="N14" s="31"/>
    </row>
    <row r="15" spans="1:15">
      <c r="A15" s="29"/>
      <c r="B15">
        <f>B32</f>
        <v>1706</v>
      </c>
      <c r="C15">
        <f>C32</f>
        <v>6</v>
      </c>
      <c r="D15">
        <f>D32</f>
        <v>123</v>
      </c>
      <c r="E15" t="str">
        <f>E32</f>
        <v>CREATE_REPORT</v>
      </c>
      <c r="F15" t="str">
        <f>F32</f>
        <v>GDC.CM_CreateCase.Create Report from Staging table as Excel</v>
      </c>
      <c r="G15">
        <f>G32</f>
        <v>1</v>
      </c>
      <c r="H15">
        <f>H32</f>
        <v>2</v>
      </c>
      <c r="I15">
        <f>I32</f>
        <v>0</v>
      </c>
      <c r="J15" t="str">
        <f>J32</f>
        <v>System</v>
      </c>
      <c r="K15" s="3">
        <f>K32</f>
        <v>46329.619259259256</v>
      </c>
      <c r="L15" t="str">
        <f>L32</f>
        <v>System</v>
      </c>
      <c r="M15" s="3">
        <f>M32</f>
        <v>46329.619259259256</v>
      </c>
      <c r="N15" s="31"/>
    </row>
    <row r="16" spans="1:15">
      <c r="A16" s="29"/>
      <c r="B16">
        <f>B33</f>
        <v>1707</v>
      </c>
      <c r="C16">
        <f>C33</f>
        <v>6</v>
      </c>
      <c r="D16">
        <f>D33</f>
        <v>123</v>
      </c>
      <c r="E16" t="str">
        <f>E33</f>
        <v>CREATE_REPORT</v>
      </c>
      <c r="F16" t="str">
        <f>F33</f>
        <v>GDC.CM_CreateCase.Create Report from Staging table as Excel</v>
      </c>
      <c r="G16">
        <f>G33</f>
        <v>1</v>
      </c>
      <c r="H16">
        <f>H33</f>
        <v>12</v>
      </c>
      <c r="I16">
        <f>I33</f>
        <v>0</v>
      </c>
      <c r="J16" t="str">
        <f>J33</f>
        <v>System</v>
      </c>
      <c r="K16" s="3">
        <f>K33</f>
        <v>46329.619270833333</v>
      </c>
      <c r="L16" t="str">
        <f>L33</f>
        <v>System</v>
      </c>
      <c r="M16" s="3">
        <f>M33</f>
        <v>46329.619270833333</v>
      </c>
      <c r="N16" s="31"/>
    </row>
    <row r="17" spans="1:14">
      <c r="A17" s="8" t="s">
        <v>61</v>
      </c>
      <c r="B17">
        <f>B34</f>
        <v>1708</v>
      </c>
      <c r="C17">
        <f>C34</f>
        <v>5</v>
      </c>
      <c r="D17">
        <f>D34</f>
        <v>123</v>
      </c>
      <c r="E17" t="str">
        <f>E34</f>
        <v>CREATE_CASE</v>
      </c>
      <c r="F17" t="str">
        <f>F34</f>
        <v>GDC.CM_CreateCase.Create Cases at EYMP - Case Created Successfully</v>
      </c>
      <c r="G17">
        <f>G34</f>
        <v>1</v>
      </c>
      <c r="H17">
        <f>H34</f>
        <v>3</v>
      </c>
      <c r="I17">
        <f>I34</f>
        <v>0</v>
      </c>
      <c r="J17" t="str">
        <f>J34</f>
        <v>System</v>
      </c>
      <c r="K17" s="3">
        <f>K34</f>
        <v>46329.619270833333</v>
      </c>
      <c r="L17" t="str">
        <f>L34</f>
        <v>System</v>
      </c>
      <c r="M17" s="3">
        <f>M34</f>
        <v>46329.619270833333</v>
      </c>
      <c r="N17" s="11"/>
    </row>
    <row r="18" spans="1:14">
      <c r="A18" s="7" t="s">
        <v>62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9">
        <f>M17-M2</f>
        <v>6.2210648145992309E-2</v>
      </c>
    </row>
    <row r="19" spans="1:14">
      <c r="A19" s="7" t="s">
        <v>63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9">
        <f>N18/2000</f>
        <v>3.1105324072996155E-5</v>
      </c>
    </row>
    <row r="21" spans="1:14">
      <c r="B21" s="18" t="s">
        <v>14</v>
      </c>
      <c r="C21" s="18" t="s">
        <v>15</v>
      </c>
      <c r="D21" s="18" t="s">
        <v>16</v>
      </c>
      <c r="E21" s="18" t="s">
        <v>17</v>
      </c>
      <c r="F21" s="18" t="s">
        <v>18</v>
      </c>
      <c r="G21" s="18" t="s">
        <v>19</v>
      </c>
      <c r="H21" s="18" t="s">
        <v>20</v>
      </c>
      <c r="I21" s="18" t="s">
        <v>21</v>
      </c>
      <c r="J21" s="18" t="s">
        <v>22</v>
      </c>
      <c r="K21" s="18" t="s">
        <v>23</v>
      </c>
      <c r="L21" s="18" t="s">
        <v>24</v>
      </c>
      <c r="M21" s="18" t="s">
        <v>25</v>
      </c>
    </row>
    <row r="22" spans="1:14">
      <c r="B22" s="18">
        <v>1595</v>
      </c>
      <c r="C22" s="18">
        <v>1</v>
      </c>
      <c r="D22" s="18">
        <v>123</v>
      </c>
      <c r="E22" s="18" t="s">
        <v>0</v>
      </c>
      <c r="F22" s="18" t="s">
        <v>1</v>
      </c>
      <c r="G22" s="18">
        <v>1</v>
      </c>
      <c r="H22" s="18">
        <v>1</v>
      </c>
      <c r="I22" s="18">
        <v>0</v>
      </c>
      <c r="J22" s="18" t="s">
        <v>2</v>
      </c>
      <c r="K22" s="23">
        <v>46329.557060185187</v>
      </c>
      <c r="L22" s="18" t="s">
        <v>2</v>
      </c>
      <c r="M22" s="23">
        <v>46329.557060185187</v>
      </c>
    </row>
    <row r="23" spans="1:14">
      <c r="B23" s="18">
        <v>1598</v>
      </c>
      <c r="C23" s="18">
        <v>3</v>
      </c>
      <c r="D23" s="18">
        <v>123</v>
      </c>
      <c r="E23" s="18" t="s">
        <v>3</v>
      </c>
      <c r="F23" s="18" t="s">
        <v>4</v>
      </c>
      <c r="G23" s="18">
        <v>1</v>
      </c>
      <c r="H23" s="18">
        <v>2</v>
      </c>
      <c r="I23" s="18">
        <v>0</v>
      </c>
      <c r="J23" s="18" t="s">
        <v>2</v>
      </c>
      <c r="K23" s="23">
        <v>46329.559039351851</v>
      </c>
      <c r="L23" s="18" t="s">
        <v>2</v>
      </c>
      <c r="M23" s="23">
        <v>46329.559039351851</v>
      </c>
    </row>
    <row r="24" spans="1:14">
      <c r="B24" s="18">
        <v>1599</v>
      </c>
      <c r="C24" s="18">
        <v>3</v>
      </c>
      <c r="D24" s="18">
        <v>123</v>
      </c>
      <c r="E24" s="18" t="s">
        <v>3</v>
      </c>
      <c r="F24" s="18" t="s">
        <v>4</v>
      </c>
      <c r="G24" s="18">
        <v>1</v>
      </c>
      <c r="H24" s="18">
        <v>3</v>
      </c>
      <c r="I24" s="18">
        <v>0</v>
      </c>
      <c r="J24" s="18" t="s">
        <v>2</v>
      </c>
      <c r="K24" s="23">
        <v>46329.559050925927</v>
      </c>
      <c r="L24" s="18" t="s">
        <v>2</v>
      </c>
      <c r="M24" s="23">
        <v>46329.559050925927</v>
      </c>
    </row>
    <row r="25" spans="1:14">
      <c r="B25" s="18">
        <v>1602</v>
      </c>
      <c r="C25" s="18">
        <v>2</v>
      </c>
      <c r="D25" s="18">
        <v>123</v>
      </c>
      <c r="E25" s="18" t="s">
        <v>5</v>
      </c>
      <c r="F25" s="18" t="s">
        <v>6</v>
      </c>
      <c r="G25" s="18">
        <v>1</v>
      </c>
      <c r="H25" s="18">
        <v>2</v>
      </c>
      <c r="I25" s="18">
        <v>0</v>
      </c>
      <c r="J25" s="18" t="s">
        <v>2</v>
      </c>
      <c r="K25" s="23">
        <v>46329.559050925927</v>
      </c>
      <c r="L25" s="18" t="s">
        <v>2</v>
      </c>
      <c r="M25" s="23">
        <v>46329.559050925927</v>
      </c>
    </row>
    <row r="26" spans="1:14">
      <c r="B26" s="18">
        <v>1605</v>
      </c>
      <c r="C26" s="18">
        <v>2</v>
      </c>
      <c r="D26" s="18">
        <v>123</v>
      </c>
      <c r="E26" s="18" t="s">
        <v>5</v>
      </c>
      <c r="F26" s="18" t="s">
        <v>6</v>
      </c>
      <c r="G26" s="18">
        <v>1</v>
      </c>
      <c r="H26" s="18">
        <v>3</v>
      </c>
      <c r="I26" s="18">
        <v>0</v>
      </c>
      <c r="J26" s="18" t="s">
        <v>2</v>
      </c>
      <c r="K26" s="23">
        <v>46329.559131944443</v>
      </c>
      <c r="L26" s="18" t="s">
        <v>2</v>
      </c>
      <c r="M26" s="23">
        <v>46329.559131944443</v>
      </c>
    </row>
    <row r="27" spans="1:14">
      <c r="B27" s="18">
        <v>1628</v>
      </c>
      <c r="C27" s="18">
        <v>4</v>
      </c>
      <c r="D27" s="18">
        <v>123</v>
      </c>
      <c r="E27" s="18" t="s">
        <v>7</v>
      </c>
      <c r="F27" s="18" t="s">
        <v>8</v>
      </c>
      <c r="G27" s="18">
        <v>1</v>
      </c>
      <c r="H27" s="18">
        <v>2</v>
      </c>
      <c r="I27" s="18">
        <v>0</v>
      </c>
      <c r="J27" s="18" t="s">
        <v>2</v>
      </c>
      <c r="K27" s="23">
        <v>46329.562581018516</v>
      </c>
      <c r="L27" s="18" t="s">
        <v>2</v>
      </c>
      <c r="M27" s="23">
        <v>46329.562581018516</v>
      </c>
    </row>
    <row r="28" spans="1:14">
      <c r="B28" s="18">
        <v>1671</v>
      </c>
      <c r="C28" s="18">
        <v>4</v>
      </c>
      <c r="D28" s="18">
        <v>123</v>
      </c>
      <c r="E28" s="18" t="s">
        <v>7</v>
      </c>
      <c r="F28" s="18" t="s">
        <v>8</v>
      </c>
      <c r="G28" s="18">
        <v>1</v>
      </c>
      <c r="H28" s="18">
        <v>3</v>
      </c>
      <c r="I28" s="18">
        <v>0</v>
      </c>
      <c r="J28" s="18" t="s">
        <v>2</v>
      </c>
      <c r="K28" s="23">
        <v>46329.590740740743</v>
      </c>
      <c r="L28" s="18" t="s">
        <v>2</v>
      </c>
      <c r="M28" s="23">
        <v>46329.590740740743</v>
      </c>
    </row>
    <row r="29" spans="1:14">
      <c r="B29" s="18">
        <v>1674</v>
      </c>
      <c r="C29" s="18">
        <v>5</v>
      </c>
      <c r="D29" s="18">
        <v>123</v>
      </c>
      <c r="E29" s="18" t="s">
        <v>9</v>
      </c>
      <c r="F29" s="18" t="s">
        <v>10</v>
      </c>
      <c r="G29" s="18">
        <v>1</v>
      </c>
      <c r="H29" s="18">
        <v>2</v>
      </c>
      <c r="I29" s="18">
        <v>0</v>
      </c>
      <c r="J29" s="18" t="s">
        <v>2</v>
      </c>
      <c r="K29" s="23">
        <v>46329.593761574077</v>
      </c>
      <c r="L29" s="18" t="s">
        <v>2</v>
      </c>
      <c r="M29" s="23">
        <v>46329.593761574077</v>
      </c>
    </row>
    <row r="30" spans="1:14">
      <c r="B30" s="18">
        <v>1704</v>
      </c>
      <c r="C30" s="18">
        <v>6</v>
      </c>
      <c r="D30" s="18">
        <v>123</v>
      </c>
      <c r="E30" s="18" t="s">
        <v>11</v>
      </c>
      <c r="F30" s="18" t="s">
        <v>12</v>
      </c>
      <c r="G30" s="18">
        <v>1</v>
      </c>
      <c r="H30" s="18">
        <v>2</v>
      </c>
      <c r="I30" s="18">
        <v>0</v>
      </c>
      <c r="J30" s="18" t="s">
        <v>2</v>
      </c>
      <c r="K30" s="23">
        <v>46329.61922453704</v>
      </c>
      <c r="L30" s="18" t="s">
        <v>2</v>
      </c>
      <c r="M30" s="23">
        <v>46329.61922453704</v>
      </c>
    </row>
    <row r="31" spans="1:14">
      <c r="B31" s="18">
        <v>1705</v>
      </c>
      <c r="C31" s="18">
        <v>6</v>
      </c>
      <c r="D31" s="18">
        <v>123</v>
      </c>
      <c r="E31" s="18" t="s">
        <v>11</v>
      </c>
      <c r="F31" s="18" t="s">
        <v>12</v>
      </c>
      <c r="G31" s="18">
        <v>1</v>
      </c>
      <c r="H31" s="18">
        <v>12</v>
      </c>
      <c r="I31" s="18">
        <v>0</v>
      </c>
      <c r="J31" s="18" t="s">
        <v>2</v>
      </c>
      <c r="K31" s="23">
        <v>46329.61923611111</v>
      </c>
      <c r="L31" s="18" t="s">
        <v>2</v>
      </c>
      <c r="M31" s="23">
        <v>46329.61923611111</v>
      </c>
    </row>
    <row r="32" spans="1:14">
      <c r="B32" s="18">
        <v>1706</v>
      </c>
      <c r="C32" s="18">
        <v>6</v>
      </c>
      <c r="D32" s="18">
        <v>123</v>
      </c>
      <c r="E32" s="18" t="s">
        <v>11</v>
      </c>
      <c r="F32" s="18" t="s">
        <v>13</v>
      </c>
      <c r="G32" s="18">
        <v>1</v>
      </c>
      <c r="H32" s="18">
        <v>2</v>
      </c>
      <c r="I32" s="18">
        <v>0</v>
      </c>
      <c r="J32" s="18" t="s">
        <v>2</v>
      </c>
      <c r="K32" s="23">
        <v>46329.619259259256</v>
      </c>
      <c r="L32" s="18" t="s">
        <v>2</v>
      </c>
      <c r="M32" s="23">
        <v>46329.619259259256</v>
      </c>
    </row>
    <row r="33" spans="2:13">
      <c r="B33" s="18">
        <v>1707</v>
      </c>
      <c r="C33" s="18">
        <v>6</v>
      </c>
      <c r="D33" s="18">
        <v>123</v>
      </c>
      <c r="E33" s="18" t="s">
        <v>11</v>
      </c>
      <c r="F33" s="18" t="s">
        <v>13</v>
      </c>
      <c r="G33" s="18">
        <v>1</v>
      </c>
      <c r="H33" s="18">
        <v>12</v>
      </c>
      <c r="I33" s="18">
        <v>0</v>
      </c>
      <c r="J33" s="18" t="s">
        <v>2</v>
      </c>
      <c r="K33" s="23">
        <v>46329.619270833333</v>
      </c>
      <c r="L33" s="18" t="s">
        <v>2</v>
      </c>
      <c r="M33" s="23">
        <v>46329.619270833333</v>
      </c>
    </row>
    <row r="34" spans="2:13">
      <c r="B34" s="18">
        <v>1708</v>
      </c>
      <c r="C34" s="18">
        <v>5</v>
      </c>
      <c r="D34" s="18">
        <v>123</v>
      </c>
      <c r="E34" s="18" t="s">
        <v>9</v>
      </c>
      <c r="F34" s="18" t="s">
        <v>10</v>
      </c>
      <c r="G34" s="18">
        <v>1</v>
      </c>
      <c r="H34" s="18">
        <v>3</v>
      </c>
      <c r="I34" s="18">
        <v>0</v>
      </c>
      <c r="J34" s="18" t="s">
        <v>2</v>
      </c>
      <c r="K34" s="23">
        <v>46329.619270833333</v>
      </c>
      <c r="L34" s="18" t="s">
        <v>2</v>
      </c>
      <c r="M34" s="23">
        <v>46329.619270833333</v>
      </c>
    </row>
    <row r="35" spans="2:13">
      <c r="B35" s="20"/>
      <c r="C35" s="20"/>
      <c r="D35" s="20"/>
      <c r="E35" s="20"/>
      <c r="F35" s="20"/>
      <c r="G35" s="20"/>
      <c r="H35" s="20"/>
      <c r="I35" s="20"/>
      <c r="J35" s="20"/>
      <c r="K35" s="22"/>
      <c r="L35" s="20"/>
      <c r="M35" s="20"/>
    </row>
    <row r="36" spans="2:13">
      <c r="B36" s="17"/>
      <c r="K36"/>
      <c r="M36"/>
    </row>
    <row r="37" spans="2:13">
      <c r="K37"/>
      <c r="M37"/>
    </row>
  </sheetData>
  <mergeCells count="12">
    <mergeCell ref="B19:M19"/>
    <mergeCell ref="B3:M3"/>
    <mergeCell ref="A4:A7"/>
    <mergeCell ref="N4:N7"/>
    <mergeCell ref="B8:M8"/>
    <mergeCell ref="A9:A10"/>
    <mergeCell ref="N9:N10"/>
    <mergeCell ref="O4:O7"/>
    <mergeCell ref="B11:M11"/>
    <mergeCell ref="A12:A16"/>
    <mergeCell ref="N12:N16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D395-D979-44EF-A21F-96442C0CBB22}">
  <dimension ref="A1:N36"/>
  <sheetViews>
    <sheetView tabSelected="1" topLeftCell="A6" workbookViewId="0">
      <selection activeCell="B23" sqref="B23"/>
    </sheetView>
  </sheetViews>
  <sheetFormatPr defaultRowHeight="15"/>
  <cols>
    <col min="1" max="1" width="25.42578125" customWidth="1"/>
    <col min="5" max="5" width="15.28515625" bestFit="1" customWidth="1"/>
    <col min="6" max="6" width="64" bestFit="1" customWidth="1"/>
    <col min="11" max="11" width="22" style="3" bestFit="1" customWidth="1"/>
    <col min="12" max="12" width="12.42578125" bestFit="1" customWidth="1"/>
    <col min="13" max="13" width="22" style="3" bestFit="1" customWidth="1"/>
    <col min="14" max="14" width="33" style="10" customWidth="1"/>
  </cols>
  <sheetData>
    <row r="1" spans="1:14">
      <c r="A1" s="4" t="s">
        <v>54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5" t="s">
        <v>23</v>
      </c>
      <c r="L1" s="4" t="s">
        <v>24</v>
      </c>
      <c r="M1" s="5" t="s">
        <v>25</v>
      </c>
      <c r="N1" s="9" t="s">
        <v>55</v>
      </c>
    </row>
    <row r="2" spans="1:14">
      <c r="A2" s="6" t="s">
        <v>56</v>
      </c>
      <c r="B2">
        <f>B24</f>
        <v>1595</v>
      </c>
      <c r="C2">
        <f t="shared" ref="C2:M2" si="0">C24</f>
        <v>1</v>
      </c>
      <c r="D2">
        <f t="shared" si="0"/>
        <v>123</v>
      </c>
      <c r="E2" t="str">
        <f t="shared" si="0"/>
        <v>CREATE_JOB</v>
      </c>
      <c r="F2" t="str">
        <f t="shared" si="0"/>
        <v>Log Request to BP Request Header table and Create Job</v>
      </c>
      <c r="G2">
        <f t="shared" si="0"/>
        <v>1</v>
      </c>
      <c r="H2">
        <f t="shared" si="0"/>
        <v>1</v>
      </c>
      <c r="I2">
        <f t="shared" si="0"/>
        <v>0</v>
      </c>
      <c r="J2" t="str">
        <f t="shared" si="0"/>
        <v>System</v>
      </c>
      <c r="K2" s="3">
        <f t="shared" si="0"/>
        <v>1.5393518518518518E-2</v>
      </c>
      <c r="L2" t="str">
        <f t="shared" si="0"/>
        <v>System</v>
      </c>
      <c r="M2" s="3">
        <f t="shared" si="0"/>
        <v>1.5393518518518518E-2</v>
      </c>
      <c r="N2" s="11"/>
    </row>
    <row r="3" spans="1:14">
      <c r="A3" s="7" t="s">
        <v>57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9">
        <f>M4-M2</f>
        <v>1.9756944444444466E-3</v>
      </c>
    </row>
    <row r="4" spans="1:14">
      <c r="A4" s="29" t="s">
        <v>58</v>
      </c>
      <c r="B4">
        <f>B25</f>
        <v>1598</v>
      </c>
      <c r="C4">
        <f t="shared" ref="C4:M4" si="1">C25</f>
        <v>3</v>
      </c>
      <c r="D4">
        <f t="shared" si="1"/>
        <v>123</v>
      </c>
      <c r="E4" t="str">
        <f t="shared" si="1"/>
        <v>LOAD_TO_BLOB</v>
      </c>
      <c r="F4" t="str">
        <f t="shared" si="1"/>
        <v>GDC.CM_LoadData Webjob - Input file upload blob storage</v>
      </c>
      <c r="G4">
        <f t="shared" si="1"/>
        <v>1</v>
      </c>
      <c r="H4">
        <f t="shared" si="1"/>
        <v>2</v>
      </c>
      <c r="I4">
        <f t="shared" si="1"/>
        <v>0</v>
      </c>
      <c r="J4" t="str">
        <f t="shared" si="1"/>
        <v>System</v>
      </c>
      <c r="K4" s="3">
        <f t="shared" si="1"/>
        <v>1.7369212962962965E-2</v>
      </c>
      <c r="L4" t="str">
        <f t="shared" si="1"/>
        <v>System</v>
      </c>
      <c r="M4" s="3">
        <f t="shared" si="1"/>
        <v>1.7369212962962965E-2</v>
      </c>
      <c r="N4" s="30">
        <f>M7-M4</f>
        <v>9.7222222222220767E-5</v>
      </c>
    </row>
    <row r="5" spans="1:14">
      <c r="A5" s="29"/>
      <c r="B5">
        <f t="shared" ref="B5:M7" si="2">B26</f>
        <v>1599</v>
      </c>
      <c r="C5">
        <f t="shared" si="2"/>
        <v>3</v>
      </c>
      <c r="D5">
        <f t="shared" si="2"/>
        <v>123</v>
      </c>
      <c r="E5" t="str">
        <f t="shared" si="2"/>
        <v>LOAD_TO_BLOB</v>
      </c>
      <c r="F5" t="str">
        <f t="shared" si="2"/>
        <v>GDC.CM_LoadData Webjob - Input file upload blob storage</v>
      </c>
      <c r="G5">
        <f t="shared" si="2"/>
        <v>1</v>
      </c>
      <c r="H5">
        <f t="shared" si="2"/>
        <v>3</v>
      </c>
      <c r="I5">
        <f t="shared" si="2"/>
        <v>0</v>
      </c>
      <c r="J5" t="str">
        <f t="shared" si="2"/>
        <v>System</v>
      </c>
      <c r="K5" s="3">
        <f t="shared" si="2"/>
        <v>1.737962962962963E-2</v>
      </c>
      <c r="L5" t="str">
        <f t="shared" si="2"/>
        <v>System</v>
      </c>
      <c r="M5" s="3">
        <f t="shared" si="2"/>
        <v>1.737962962962963E-2</v>
      </c>
      <c r="N5" s="31"/>
    </row>
    <row r="6" spans="1:14">
      <c r="A6" s="29"/>
      <c r="B6">
        <f t="shared" si="2"/>
        <v>1602</v>
      </c>
      <c r="C6">
        <f t="shared" si="2"/>
        <v>2</v>
      </c>
      <c r="D6">
        <f t="shared" si="2"/>
        <v>123</v>
      </c>
      <c r="E6" t="str">
        <f t="shared" si="2"/>
        <v>LOAD_TO_STG</v>
      </c>
      <c r="F6" t="str">
        <f t="shared" si="2"/>
        <v>GDC.CM_LoadData Webjob - Load data to staging tables</v>
      </c>
      <c r="G6">
        <f t="shared" si="2"/>
        <v>1</v>
      </c>
      <c r="H6">
        <f t="shared" si="2"/>
        <v>2</v>
      </c>
      <c r="I6">
        <f t="shared" si="2"/>
        <v>0</v>
      </c>
      <c r="J6" t="str">
        <f t="shared" si="2"/>
        <v>System</v>
      </c>
      <c r="K6" s="3">
        <f t="shared" si="2"/>
        <v>1.7380787037037038E-2</v>
      </c>
      <c r="L6" t="str">
        <f t="shared" si="2"/>
        <v>System</v>
      </c>
      <c r="M6" s="3">
        <f t="shared" si="2"/>
        <v>1.7380787037037038E-2</v>
      </c>
      <c r="N6" s="31"/>
    </row>
    <row r="7" spans="1:14">
      <c r="A7" s="29"/>
      <c r="B7">
        <f t="shared" si="2"/>
        <v>1605</v>
      </c>
      <c r="C7">
        <f t="shared" si="2"/>
        <v>2</v>
      </c>
      <c r="D7">
        <f t="shared" si="2"/>
        <v>123</v>
      </c>
      <c r="E7" t="str">
        <f t="shared" si="2"/>
        <v>LOAD_TO_STG</v>
      </c>
      <c r="F7" t="str">
        <f t="shared" si="2"/>
        <v>GDC.CM_LoadData Webjob - Load data to staging tables</v>
      </c>
      <c r="G7">
        <f t="shared" si="2"/>
        <v>1</v>
      </c>
      <c r="H7">
        <f t="shared" si="2"/>
        <v>3</v>
      </c>
      <c r="I7">
        <f t="shared" si="2"/>
        <v>0</v>
      </c>
      <c r="J7" t="str">
        <f t="shared" si="2"/>
        <v>System</v>
      </c>
      <c r="K7" s="3">
        <f t="shared" si="2"/>
        <v>1.7466435185185186E-2</v>
      </c>
      <c r="L7" t="str">
        <f t="shared" si="2"/>
        <v>System</v>
      </c>
      <c r="M7" s="3">
        <f t="shared" si="2"/>
        <v>1.7466435185185186E-2</v>
      </c>
      <c r="N7" s="33"/>
    </row>
    <row r="8" spans="1:14">
      <c r="A8" s="7" t="s">
        <v>57</v>
      </c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  <c r="N8" s="9">
        <f>M9-M7</f>
        <v>3.4525462962962973E-3</v>
      </c>
    </row>
    <row r="9" spans="1:14">
      <c r="A9" s="29" t="s">
        <v>59</v>
      </c>
      <c r="B9">
        <f>B29</f>
        <v>1628</v>
      </c>
      <c r="C9">
        <f t="shared" ref="C9:M9" si="3">C29</f>
        <v>4</v>
      </c>
      <c r="D9">
        <f t="shared" si="3"/>
        <v>123</v>
      </c>
      <c r="E9" t="str">
        <f t="shared" si="3"/>
        <v>DATA_VALIDATE</v>
      </c>
      <c r="F9" t="str">
        <f t="shared" si="3"/>
        <v>GDC.CM_ValidateData. Validate the case creation request received</v>
      </c>
      <c r="G9">
        <f t="shared" si="3"/>
        <v>1</v>
      </c>
      <c r="H9">
        <f t="shared" si="3"/>
        <v>2</v>
      </c>
      <c r="I9">
        <f t="shared" si="3"/>
        <v>0</v>
      </c>
      <c r="J9" t="str">
        <f t="shared" si="3"/>
        <v>System</v>
      </c>
      <c r="K9" s="3">
        <f t="shared" si="3"/>
        <v>2.0918981481481483E-2</v>
      </c>
      <c r="L9" t="str">
        <f t="shared" si="3"/>
        <v>System</v>
      </c>
      <c r="M9" s="3">
        <f t="shared" si="3"/>
        <v>2.0918981481481483E-2</v>
      </c>
      <c r="N9" s="35">
        <f>M10-M9</f>
        <v>-1.3510416666666667E-2</v>
      </c>
    </row>
    <row r="10" spans="1:14">
      <c r="A10" s="34"/>
      <c r="B10">
        <f>B30</f>
        <v>1671</v>
      </c>
      <c r="C10">
        <f t="shared" ref="C10:M10" si="4">C30</f>
        <v>4</v>
      </c>
      <c r="D10">
        <f t="shared" si="4"/>
        <v>123</v>
      </c>
      <c r="E10" t="str">
        <f t="shared" si="4"/>
        <v>DATA_VALIDATE</v>
      </c>
      <c r="F10" t="str">
        <f t="shared" si="4"/>
        <v>GDC.CM_ValidateData. Validate the case creation request received</v>
      </c>
      <c r="G10">
        <f t="shared" si="4"/>
        <v>1</v>
      </c>
      <c r="H10">
        <f t="shared" si="4"/>
        <v>3</v>
      </c>
      <c r="I10">
        <f t="shared" si="4"/>
        <v>0</v>
      </c>
      <c r="J10" t="str">
        <f t="shared" si="4"/>
        <v>System</v>
      </c>
      <c r="K10" s="3">
        <f t="shared" si="4"/>
        <v>7.4085648148148149E-3</v>
      </c>
      <c r="L10" t="str">
        <f t="shared" si="4"/>
        <v>System</v>
      </c>
      <c r="M10" s="3">
        <f t="shared" si="4"/>
        <v>7.4085648148148149E-3</v>
      </c>
      <c r="N10" s="35"/>
    </row>
    <row r="11" spans="1:14">
      <c r="A11" s="7" t="s">
        <v>57</v>
      </c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9">
        <f>M12-M10</f>
        <v>3.0150462962962961E-3</v>
      </c>
    </row>
    <row r="12" spans="1:14">
      <c r="A12" s="29" t="s">
        <v>60</v>
      </c>
      <c r="B12">
        <f>B31</f>
        <v>1674</v>
      </c>
      <c r="C12">
        <f t="shared" ref="C12:M12" si="5">C31</f>
        <v>5</v>
      </c>
      <c r="D12">
        <f t="shared" si="5"/>
        <v>123</v>
      </c>
      <c r="E12" t="str">
        <f t="shared" si="5"/>
        <v>CREATE_CASE</v>
      </c>
      <c r="F12" t="str">
        <f t="shared" si="5"/>
        <v>GDC.CM_CreateCase.Create Cases at EYMP - Case Created Successfully</v>
      </c>
      <c r="G12">
        <f t="shared" si="5"/>
        <v>1</v>
      </c>
      <c r="H12">
        <f t="shared" si="5"/>
        <v>2</v>
      </c>
      <c r="I12">
        <f t="shared" si="5"/>
        <v>0</v>
      </c>
      <c r="J12" t="str">
        <f t="shared" si="5"/>
        <v>System</v>
      </c>
      <c r="K12" s="3">
        <f t="shared" si="5"/>
        <v>1.0423611111111111E-2</v>
      </c>
      <c r="L12" t="str">
        <f t="shared" si="5"/>
        <v>System</v>
      </c>
      <c r="M12" s="3">
        <f t="shared" si="5"/>
        <v>1.0423611111111111E-2</v>
      </c>
      <c r="N12" s="30">
        <f>M18-M12</f>
        <v>-1.0423611111111111E-2</v>
      </c>
    </row>
    <row r="13" spans="1:14">
      <c r="A13" s="29"/>
      <c r="B13">
        <f t="shared" ref="B13:M19" si="6">B32</f>
        <v>1704</v>
      </c>
      <c r="C13">
        <f t="shared" si="6"/>
        <v>6</v>
      </c>
      <c r="D13">
        <f t="shared" si="6"/>
        <v>123</v>
      </c>
      <c r="E13" t="str">
        <f t="shared" si="6"/>
        <v>CREATE_REPORT</v>
      </c>
      <c r="F13" t="str">
        <f t="shared" si="6"/>
        <v>GDC.CM_CreateCase.Create Report from Staging table  as Json</v>
      </c>
      <c r="G13">
        <f t="shared" si="6"/>
        <v>1</v>
      </c>
      <c r="H13">
        <f t="shared" si="6"/>
        <v>2</v>
      </c>
      <c r="I13">
        <f t="shared" si="6"/>
        <v>0</v>
      </c>
      <c r="J13" t="str">
        <f t="shared" si="6"/>
        <v>System</v>
      </c>
      <c r="K13" s="3">
        <f t="shared" si="6"/>
        <v>3.5893518518518519E-2</v>
      </c>
      <c r="L13" t="str">
        <f t="shared" si="6"/>
        <v>System</v>
      </c>
      <c r="M13" s="3">
        <f t="shared" si="6"/>
        <v>3.5893518518518519E-2</v>
      </c>
      <c r="N13" s="31"/>
    </row>
    <row r="14" spans="1:14">
      <c r="A14" s="29"/>
      <c r="B14">
        <f t="shared" si="6"/>
        <v>1705</v>
      </c>
      <c r="C14">
        <f t="shared" si="6"/>
        <v>6</v>
      </c>
      <c r="D14">
        <f t="shared" si="6"/>
        <v>123</v>
      </c>
      <c r="E14" t="str">
        <f t="shared" si="6"/>
        <v>CREATE_REPORT</v>
      </c>
      <c r="F14" t="str">
        <f t="shared" si="6"/>
        <v>GDC.CM_CreateCase.Create Report from Staging table  as Json</v>
      </c>
      <c r="G14">
        <f t="shared" si="6"/>
        <v>1</v>
      </c>
      <c r="H14">
        <f t="shared" si="6"/>
        <v>12</v>
      </c>
      <c r="I14">
        <f t="shared" si="6"/>
        <v>0</v>
      </c>
      <c r="J14" t="str">
        <f t="shared" si="6"/>
        <v>System</v>
      </c>
      <c r="K14" s="3">
        <f t="shared" si="6"/>
        <v>3.5900462962962967E-2</v>
      </c>
      <c r="L14" t="str">
        <f t="shared" si="6"/>
        <v>System</v>
      </c>
      <c r="M14" s="3">
        <f t="shared" si="6"/>
        <v>3.5900462962962967E-2</v>
      </c>
      <c r="N14" s="31"/>
    </row>
    <row r="15" spans="1:14">
      <c r="A15" s="29"/>
      <c r="B15">
        <f t="shared" si="6"/>
        <v>1706</v>
      </c>
      <c r="C15">
        <f t="shared" si="6"/>
        <v>6</v>
      </c>
      <c r="D15">
        <f t="shared" si="6"/>
        <v>123</v>
      </c>
      <c r="E15" t="str">
        <f t="shared" si="6"/>
        <v>CREATE_REPORT</v>
      </c>
      <c r="F15" t="str">
        <f t="shared" si="6"/>
        <v>GDC.CM_CreateCase.Create Report from Staging table as Excel</v>
      </c>
      <c r="G15">
        <f t="shared" si="6"/>
        <v>1</v>
      </c>
      <c r="H15">
        <f t="shared" si="6"/>
        <v>2</v>
      </c>
      <c r="I15">
        <f t="shared" si="6"/>
        <v>0</v>
      </c>
      <c r="J15" t="str">
        <f t="shared" si="6"/>
        <v>System</v>
      </c>
      <c r="K15" s="3">
        <f t="shared" si="6"/>
        <v>3.5923611111111114E-2</v>
      </c>
      <c r="L15" t="str">
        <f t="shared" si="6"/>
        <v>System</v>
      </c>
      <c r="M15" s="3">
        <f t="shared" si="6"/>
        <v>3.5923611111111114E-2</v>
      </c>
      <c r="N15" s="31"/>
    </row>
    <row r="16" spans="1:14">
      <c r="A16" s="29"/>
      <c r="B16">
        <f t="shared" si="6"/>
        <v>1707</v>
      </c>
      <c r="C16">
        <f t="shared" si="6"/>
        <v>6</v>
      </c>
      <c r="D16">
        <f t="shared" si="6"/>
        <v>123</v>
      </c>
      <c r="E16" t="str">
        <f t="shared" si="6"/>
        <v>CREATE_REPORT</v>
      </c>
      <c r="F16" t="str">
        <f t="shared" si="6"/>
        <v>GDC.CM_CreateCase.Create Report from Staging table as Excel</v>
      </c>
      <c r="G16">
        <f t="shared" si="6"/>
        <v>1</v>
      </c>
      <c r="H16">
        <f t="shared" si="6"/>
        <v>12</v>
      </c>
      <c r="I16">
        <f t="shared" si="6"/>
        <v>0</v>
      </c>
      <c r="J16" t="str">
        <f t="shared" si="6"/>
        <v>System</v>
      </c>
      <c r="K16" s="3">
        <f t="shared" si="6"/>
        <v>3.5932870370370372E-2</v>
      </c>
      <c r="L16" t="str">
        <f t="shared" si="6"/>
        <v>System</v>
      </c>
      <c r="M16" s="3">
        <f t="shared" si="6"/>
        <v>3.5932870370370372E-2</v>
      </c>
      <c r="N16" s="31"/>
    </row>
    <row r="17" spans="1:14">
      <c r="A17" s="29"/>
      <c r="B17">
        <f t="shared" si="6"/>
        <v>1708</v>
      </c>
      <c r="C17">
        <f t="shared" si="6"/>
        <v>5</v>
      </c>
      <c r="D17">
        <f t="shared" si="6"/>
        <v>123</v>
      </c>
      <c r="E17" t="str">
        <f t="shared" si="6"/>
        <v>CREATE_CASE</v>
      </c>
      <c r="F17" t="str">
        <f t="shared" si="6"/>
        <v>GDC.CM_CreateCase.Create Cases at EYMP - Case Created Successfully</v>
      </c>
      <c r="G17">
        <f t="shared" si="6"/>
        <v>1</v>
      </c>
      <c r="H17">
        <f t="shared" si="6"/>
        <v>3</v>
      </c>
      <c r="I17">
        <f t="shared" si="6"/>
        <v>0</v>
      </c>
      <c r="J17" t="str">
        <f t="shared" si="6"/>
        <v>System</v>
      </c>
      <c r="K17" s="3">
        <f t="shared" si="6"/>
        <v>3.5939814814814813E-2</v>
      </c>
      <c r="L17" t="str">
        <f t="shared" si="6"/>
        <v>System</v>
      </c>
      <c r="M17" s="3">
        <f t="shared" si="6"/>
        <v>3.5939814814814813E-2</v>
      </c>
      <c r="N17" s="31"/>
    </row>
    <row r="18" spans="1:14">
      <c r="A18" s="29"/>
      <c r="B18">
        <f t="shared" si="6"/>
        <v>0</v>
      </c>
      <c r="C18">
        <f t="shared" si="6"/>
        <v>0</v>
      </c>
      <c r="D18">
        <f t="shared" si="6"/>
        <v>0</v>
      </c>
      <c r="E18">
        <f t="shared" si="6"/>
        <v>0</v>
      </c>
      <c r="F18">
        <f t="shared" si="6"/>
        <v>0</v>
      </c>
      <c r="G18">
        <f t="shared" si="6"/>
        <v>0</v>
      </c>
      <c r="H18">
        <f t="shared" si="6"/>
        <v>0</v>
      </c>
      <c r="I18">
        <f t="shared" si="6"/>
        <v>0</v>
      </c>
      <c r="J18">
        <f t="shared" si="6"/>
        <v>0</v>
      </c>
      <c r="K18" s="3">
        <f t="shared" si="6"/>
        <v>0</v>
      </c>
      <c r="L18">
        <f t="shared" si="6"/>
        <v>0</v>
      </c>
      <c r="M18" s="3">
        <f t="shared" si="6"/>
        <v>0</v>
      </c>
      <c r="N18" s="33"/>
    </row>
    <row r="19" spans="1:14">
      <c r="A19" s="8" t="s">
        <v>61</v>
      </c>
      <c r="B19">
        <f t="shared" si="6"/>
        <v>0</v>
      </c>
      <c r="C19">
        <f t="shared" si="6"/>
        <v>0</v>
      </c>
      <c r="D19">
        <f t="shared" si="6"/>
        <v>0</v>
      </c>
      <c r="E19">
        <f t="shared" si="6"/>
        <v>0</v>
      </c>
      <c r="F19">
        <f t="shared" si="6"/>
        <v>0</v>
      </c>
      <c r="G19">
        <f t="shared" si="6"/>
        <v>0</v>
      </c>
      <c r="H19">
        <f t="shared" si="6"/>
        <v>0</v>
      </c>
      <c r="I19">
        <f t="shared" si="6"/>
        <v>0</v>
      </c>
      <c r="J19">
        <f t="shared" si="6"/>
        <v>0</v>
      </c>
      <c r="K19" s="3">
        <f t="shared" si="6"/>
        <v>0</v>
      </c>
      <c r="L19">
        <f t="shared" si="6"/>
        <v>0</v>
      </c>
      <c r="M19" s="3">
        <f t="shared" si="6"/>
        <v>0</v>
      </c>
      <c r="N19" s="11"/>
    </row>
    <row r="20" spans="1:14">
      <c r="A20" s="7" t="s">
        <v>62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9">
        <f>M19-M2</f>
        <v>-1.5393518518518518E-2</v>
      </c>
    </row>
    <row r="21" spans="1:14">
      <c r="A21" s="7" t="s">
        <v>63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9">
        <f>N20/2000</f>
        <v>-7.6967592592592584E-6</v>
      </c>
    </row>
    <row r="23" spans="1:14">
      <c r="B23" s="18" t="s">
        <v>14</v>
      </c>
      <c r="C23" s="18" t="s">
        <v>15</v>
      </c>
      <c r="D23" s="18" t="s">
        <v>16</v>
      </c>
      <c r="E23" s="18" t="s">
        <v>17</v>
      </c>
      <c r="F23" s="18" t="s">
        <v>18</v>
      </c>
      <c r="G23" s="18" t="s">
        <v>19</v>
      </c>
      <c r="H23" s="18" t="s">
        <v>20</v>
      </c>
      <c r="I23" s="18" t="s">
        <v>21</v>
      </c>
      <c r="J23" s="18" t="s">
        <v>22</v>
      </c>
      <c r="K23" s="18" t="s">
        <v>23</v>
      </c>
      <c r="L23" s="18" t="s">
        <v>24</v>
      </c>
      <c r="M23" s="18" t="s">
        <v>25</v>
      </c>
    </row>
    <row r="24" spans="1:14">
      <c r="B24" s="18">
        <v>1595</v>
      </c>
      <c r="C24" s="18">
        <v>1</v>
      </c>
      <c r="D24" s="18">
        <v>123</v>
      </c>
      <c r="E24" s="18" t="s">
        <v>0</v>
      </c>
      <c r="F24" s="18" t="s">
        <v>1</v>
      </c>
      <c r="G24" s="18">
        <v>1</v>
      </c>
      <c r="H24" s="18">
        <v>1</v>
      </c>
      <c r="I24" s="18">
        <v>0</v>
      </c>
      <c r="J24" s="18" t="s">
        <v>2</v>
      </c>
      <c r="K24" s="19">
        <v>1.5393518518518518E-2</v>
      </c>
      <c r="L24" s="18" t="s">
        <v>2</v>
      </c>
      <c r="M24" s="19">
        <v>1.5393518518518518E-2</v>
      </c>
    </row>
    <row r="25" spans="1:14">
      <c r="B25" s="18">
        <v>1598</v>
      </c>
      <c r="C25" s="18">
        <v>3</v>
      </c>
      <c r="D25" s="18">
        <v>123</v>
      </c>
      <c r="E25" s="18" t="s">
        <v>3</v>
      </c>
      <c r="F25" s="18" t="s">
        <v>4</v>
      </c>
      <c r="G25" s="18">
        <v>1</v>
      </c>
      <c r="H25" s="18">
        <v>2</v>
      </c>
      <c r="I25" s="18">
        <v>0</v>
      </c>
      <c r="J25" s="18" t="s">
        <v>2</v>
      </c>
      <c r="K25" s="19">
        <v>1.7369212962962965E-2</v>
      </c>
      <c r="L25" s="18" t="s">
        <v>2</v>
      </c>
      <c r="M25" s="19">
        <v>1.7369212962962965E-2</v>
      </c>
    </row>
    <row r="26" spans="1:14">
      <c r="B26" s="18">
        <v>1599</v>
      </c>
      <c r="C26" s="18">
        <v>3</v>
      </c>
      <c r="D26" s="18">
        <v>123</v>
      </c>
      <c r="E26" s="18" t="s">
        <v>3</v>
      </c>
      <c r="F26" s="18" t="s">
        <v>4</v>
      </c>
      <c r="G26" s="18">
        <v>1</v>
      </c>
      <c r="H26" s="18">
        <v>3</v>
      </c>
      <c r="I26" s="18">
        <v>0</v>
      </c>
      <c r="J26" s="18" t="s">
        <v>2</v>
      </c>
      <c r="K26" s="19">
        <v>1.737962962962963E-2</v>
      </c>
      <c r="L26" s="18" t="s">
        <v>2</v>
      </c>
      <c r="M26" s="19">
        <v>1.737962962962963E-2</v>
      </c>
    </row>
    <row r="27" spans="1:14">
      <c r="B27" s="18">
        <v>1602</v>
      </c>
      <c r="C27" s="18">
        <v>2</v>
      </c>
      <c r="D27" s="18">
        <v>123</v>
      </c>
      <c r="E27" s="18" t="s">
        <v>5</v>
      </c>
      <c r="F27" s="18" t="s">
        <v>6</v>
      </c>
      <c r="G27" s="18">
        <v>1</v>
      </c>
      <c r="H27" s="18">
        <v>2</v>
      </c>
      <c r="I27" s="18">
        <v>0</v>
      </c>
      <c r="J27" s="18" t="s">
        <v>2</v>
      </c>
      <c r="K27" s="19">
        <v>1.7380787037037038E-2</v>
      </c>
      <c r="L27" s="18" t="s">
        <v>2</v>
      </c>
      <c r="M27" s="19">
        <v>1.7380787037037038E-2</v>
      </c>
    </row>
    <row r="28" spans="1:14">
      <c r="B28" s="18">
        <v>1605</v>
      </c>
      <c r="C28" s="18">
        <v>2</v>
      </c>
      <c r="D28" s="18">
        <v>123</v>
      </c>
      <c r="E28" s="18" t="s">
        <v>5</v>
      </c>
      <c r="F28" s="18" t="s">
        <v>6</v>
      </c>
      <c r="G28" s="18">
        <v>1</v>
      </c>
      <c r="H28" s="18">
        <v>3</v>
      </c>
      <c r="I28" s="18">
        <v>0</v>
      </c>
      <c r="J28" s="18" t="s">
        <v>2</v>
      </c>
      <c r="K28" s="19">
        <v>1.7466435185185186E-2</v>
      </c>
      <c r="L28" s="18" t="s">
        <v>2</v>
      </c>
      <c r="M28" s="19">
        <v>1.7466435185185186E-2</v>
      </c>
    </row>
    <row r="29" spans="1:14">
      <c r="B29" s="18">
        <v>1628</v>
      </c>
      <c r="C29" s="18">
        <v>4</v>
      </c>
      <c r="D29" s="18">
        <v>123</v>
      </c>
      <c r="E29" s="18" t="s">
        <v>7</v>
      </c>
      <c r="F29" s="18" t="s">
        <v>8</v>
      </c>
      <c r="G29" s="18">
        <v>1</v>
      </c>
      <c r="H29" s="18">
        <v>2</v>
      </c>
      <c r="I29" s="18">
        <v>0</v>
      </c>
      <c r="J29" s="18" t="s">
        <v>2</v>
      </c>
      <c r="K29" s="19">
        <v>2.0918981481481483E-2</v>
      </c>
      <c r="L29" s="18" t="s">
        <v>2</v>
      </c>
      <c r="M29" s="19">
        <v>2.0918981481481483E-2</v>
      </c>
    </row>
    <row r="30" spans="1:14">
      <c r="B30" s="18">
        <v>1671</v>
      </c>
      <c r="C30" s="18">
        <v>4</v>
      </c>
      <c r="D30" s="18">
        <v>123</v>
      </c>
      <c r="E30" s="18" t="s">
        <v>7</v>
      </c>
      <c r="F30" s="18" t="s">
        <v>8</v>
      </c>
      <c r="G30" s="18">
        <v>1</v>
      </c>
      <c r="H30" s="18">
        <v>3</v>
      </c>
      <c r="I30" s="18">
        <v>0</v>
      </c>
      <c r="J30" s="18" t="s">
        <v>2</v>
      </c>
      <c r="K30" s="19">
        <v>7.4085648148148149E-3</v>
      </c>
      <c r="L30" s="18" t="s">
        <v>2</v>
      </c>
      <c r="M30" s="19">
        <v>7.4085648148148149E-3</v>
      </c>
    </row>
    <row r="31" spans="1:14">
      <c r="B31" s="18">
        <v>1674</v>
      </c>
      <c r="C31" s="18">
        <v>5</v>
      </c>
      <c r="D31" s="18">
        <v>123</v>
      </c>
      <c r="E31" s="18" t="s">
        <v>9</v>
      </c>
      <c r="F31" s="18" t="s">
        <v>10</v>
      </c>
      <c r="G31" s="18">
        <v>1</v>
      </c>
      <c r="H31" s="18">
        <v>2</v>
      </c>
      <c r="I31" s="18">
        <v>0</v>
      </c>
      <c r="J31" s="18" t="s">
        <v>2</v>
      </c>
      <c r="K31" s="19">
        <v>1.0423611111111111E-2</v>
      </c>
      <c r="L31" s="18" t="s">
        <v>2</v>
      </c>
      <c r="M31" s="19">
        <v>1.0423611111111111E-2</v>
      </c>
    </row>
    <row r="32" spans="1:14">
      <c r="B32" s="18">
        <v>1704</v>
      </c>
      <c r="C32" s="18">
        <v>6</v>
      </c>
      <c r="D32" s="18">
        <v>123</v>
      </c>
      <c r="E32" s="18" t="s">
        <v>11</v>
      </c>
      <c r="F32" s="18" t="s">
        <v>12</v>
      </c>
      <c r="G32" s="18">
        <v>1</v>
      </c>
      <c r="H32" s="18">
        <v>2</v>
      </c>
      <c r="I32" s="18">
        <v>0</v>
      </c>
      <c r="J32" s="18" t="s">
        <v>2</v>
      </c>
      <c r="K32" s="19">
        <v>3.5893518518518519E-2</v>
      </c>
      <c r="L32" s="18" t="s">
        <v>2</v>
      </c>
      <c r="M32" s="19">
        <v>3.5893518518518519E-2</v>
      </c>
    </row>
    <row r="33" spans="2:13">
      <c r="B33" s="18">
        <v>1705</v>
      </c>
      <c r="C33" s="18">
        <v>6</v>
      </c>
      <c r="D33" s="18">
        <v>123</v>
      </c>
      <c r="E33" s="18" t="s">
        <v>11</v>
      </c>
      <c r="F33" s="18" t="s">
        <v>12</v>
      </c>
      <c r="G33" s="18">
        <v>1</v>
      </c>
      <c r="H33" s="18">
        <v>12</v>
      </c>
      <c r="I33" s="18">
        <v>0</v>
      </c>
      <c r="J33" s="18" t="s">
        <v>2</v>
      </c>
      <c r="K33" s="19">
        <v>3.5900462962962967E-2</v>
      </c>
      <c r="L33" s="18" t="s">
        <v>2</v>
      </c>
      <c r="M33" s="19">
        <v>3.5900462962962967E-2</v>
      </c>
    </row>
    <row r="34" spans="2:13">
      <c r="B34" s="18">
        <v>1706</v>
      </c>
      <c r="C34" s="18">
        <v>6</v>
      </c>
      <c r="D34" s="18">
        <v>123</v>
      </c>
      <c r="E34" s="18" t="s">
        <v>11</v>
      </c>
      <c r="F34" s="18" t="s">
        <v>13</v>
      </c>
      <c r="G34" s="18">
        <v>1</v>
      </c>
      <c r="H34" s="18">
        <v>2</v>
      </c>
      <c r="I34" s="18">
        <v>0</v>
      </c>
      <c r="J34" s="18" t="s">
        <v>2</v>
      </c>
      <c r="K34" s="19">
        <v>3.5923611111111114E-2</v>
      </c>
      <c r="L34" s="18" t="s">
        <v>2</v>
      </c>
      <c r="M34" s="19">
        <v>3.5923611111111114E-2</v>
      </c>
    </row>
    <row r="35" spans="2:13">
      <c r="B35" s="18">
        <v>1707</v>
      </c>
      <c r="C35" s="18">
        <v>6</v>
      </c>
      <c r="D35" s="18">
        <v>123</v>
      </c>
      <c r="E35" s="18" t="s">
        <v>11</v>
      </c>
      <c r="F35" s="18" t="s">
        <v>13</v>
      </c>
      <c r="G35" s="18">
        <v>1</v>
      </c>
      <c r="H35" s="18">
        <v>12</v>
      </c>
      <c r="I35" s="18">
        <v>0</v>
      </c>
      <c r="J35" s="18" t="s">
        <v>2</v>
      </c>
      <c r="K35" s="19">
        <v>3.5932870370370372E-2</v>
      </c>
      <c r="L35" s="18" t="s">
        <v>2</v>
      </c>
      <c r="M35" s="19">
        <v>3.5932870370370372E-2</v>
      </c>
    </row>
    <row r="36" spans="2:13">
      <c r="B36" s="18">
        <v>1708</v>
      </c>
      <c r="C36" s="18">
        <v>5</v>
      </c>
      <c r="D36" s="18">
        <v>123</v>
      </c>
      <c r="E36" s="18" t="s">
        <v>9</v>
      </c>
      <c r="F36" s="18" t="s">
        <v>10</v>
      </c>
      <c r="G36" s="18">
        <v>1</v>
      </c>
      <c r="H36" s="18">
        <v>3</v>
      </c>
      <c r="I36" s="18">
        <v>0</v>
      </c>
      <c r="J36" s="18" t="s">
        <v>2</v>
      </c>
      <c r="K36" s="19">
        <v>3.5939814814814813E-2</v>
      </c>
      <c r="L36" s="18" t="s">
        <v>2</v>
      </c>
      <c r="M36" s="19">
        <v>3.5939814814814813E-2</v>
      </c>
    </row>
  </sheetData>
  <mergeCells count="11">
    <mergeCell ref="A4:A7"/>
    <mergeCell ref="A9:A10"/>
    <mergeCell ref="A12:A18"/>
    <mergeCell ref="B8:M8"/>
    <mergeCell ref="B11:M11"/>
    <mergeCell ref="B21:M21"/>
    <mergeCell ref="B20:M20"/>
    <mergeCell ref="N9:N10"/>
    <mergeCell ref="B3:M3"/>
    <mergeCell ref="N4:N7"/>
    <mergeCell ref="N12:N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2408A78C1E448B4939212AB6ADBF0" ma:contentTypeVersion="20" ma:contentTypeDescription="Create a new document." ma:contentTypeScope="" ma:versionID="8f33af8c2fffb5e4b62a6c761a3ab9c4">
  <xsd:schema xmlns:xsd="http://www.w3.org/2001/XMLSchema" xmlns:xs="http://www.w3.org/2001/XMLSchema" xmlns:p="http://schemas.microsoft.com/office/2006/metadata/properties" xmlns:ns2="66702703-1947-4ef3-a2c3-7fba8e3a4f32" xmlns:ns3="da119e9c-42fc-4990-a706-3ac9854a1d6f" xmlns:ns4="50c908b1-f277-4340-90a9-4611d0b0f078" targetNamespace="http://schemas.microsoft.com/office/2006/metadata/properties" ma:root="true" ma:fieldsID="542743bbc810683c0ed8f71c4d055a56" ns2:_="" ns3:_="" ns4:_="">
    <xsd:import namespace="66702703-1947-4ef3-a2c3-7fba8e3a4f32"/>
    <xsd:import namespace="da119e9c-42fc-4990-a706-3ac9854a1d6f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Comments" minOccurs="0"/>
                <xsd:element ref="ns2:VideoDescrip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02703-1947-4ef3-a2c3-7fba8e3a4f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19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VideoDescription" ma:index="20" nillable="true" ma:displayName="Video Description" ma:default="Enter high level description of Video" ma:description="Video Description" ma:format="Dropdown" ma:internalName="VideoDescription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19e9c-42fc-4990-a706-3ac9854a1d6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680c69e-841c-4926-a22b-715565ee9b18}" ma:internalName="TaxCatchAll" ma:showField="CatchAllData" ma:web="da119e9c-42fc-4990-a706-3ac9854a1d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66702703-1947-4ef3-a2c3-7fba8e3a4f32" xsi:nil="true"/>
    <TaxCatchAll xmlns="50c908b1-f277-4340-90a9-4611d0b0f078" xsi:nil="true"/>
    <VideoDescription xmlns="66702703-1947-4ef3-a2c3-7fba8e3a4f32">Enter high level description of Video</VideoDescription>
    <lcf76f155ced4ddcb4097134ff3c332f xmlns="66702703-1947-4ef3-a2c3-7fba8e3a4f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6F9901-3C78-411E-B39C-702872D18D1A}"/>
</file>

<file path=customXml/itemProps2.xml><?xml version="1.0" encoding="utf-8"?>
<ds:datastoreItem xmlns:ds="http://schemas.openxmlformats.org/officeDocument/2006/customXml" ds:itemID="{563E39B4-4502-4E95-9CF8-CF81C4698ECF}"/>
</file>

<file path=customXml/itemProps3.xml><?xml version="1.0" encoding="utf-8"?>
<ds:datastoreItem xmlns:ds="http://schemas.openxmlformats.org/officeDocument/2006/customXml" ds:itemID="{2B26F598-34D0-47DE-9239-7C0FA96F3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Arijit Ghosh</dc:creator>
  <cp:keywords/>
  <dc:description/>
  <cp:lastModifiedBy/>
  <cp:revision/>
  <dcterms:created xsi:type="dcterms:W3CDTF">2025-12-02T16:05:02Z</dcterms:created>
  <dcterms:modified xsi:type="dcterms:W3CDTF">2026-03-16T10:04:37Z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0x0101000FA2408A78C1E448B4939212AB6ADBF0</vt:lpwstr>
  </property>
  <property fmtid="{D5CDD505-2E9C-101B-9397-08002B2CF9AE}" pid="3" name="MediaServiceImageTags">
    <vt:lpwstr/>
  </property>
</Properties>
</file>