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VX783PD\data-fetch-agent\input\"/>
    </mc:Choice>
  </mc:AlternateContent>
  <xr:revisionPtr revIDLastSave="0" documentId="13_ncr:1_{17145D1C-74A5-4299-B4E2-B5C5E5EEC1E1}" xr6:coauthVersionLast="47" xr6:coauthVersionMax="47" xr10:uidLastSave="{00000000-0000-0000-0000-000000000000}"/>
  <bookViews>
    <workbookView xWindow="-110" yWindow="-110" windowWidth="19420" windowHeight="11500" firstSheet="17" activeTab="17" xr2:uid="{089F59A5-5D90-4417-A859-92C805E1ABF8}"/>
  </bookViews>
  <sheets>
    <sheet name="EXEC tRACKER" sheetId="6" r:id="rId1"/>
    <sheet name="RUN LOG" sheetId="7" r:id="rId2"/>
    <sheet name="5 Clients_10K REC" sheetId="4" r:id="rId3"/>
    <sheet name="1Client_2K REC" sheetId="5" r:id="rId4"/>
    <sheet name="1029UAP+2K" sheetId="9" r:id="rId5"/>
    <sheet name="1544APUsers+6KBulkCase_14thNov" sheetId="10" r:id="rId6"/>
    <sheet name="Standalone_9Clients_20K Rec" sheetId="11" r:id="rId7"/>
    <sheet name="1544APUsers+6KBulkCase_18thNov" sheetId="12" r:id="rId8"/>
    <sheet name="1544APUsers_20KBulkCase_20thNov" sheetId="13" r:id="rId9"/>
    <sheet name="1544APUsers_20KBulkCase_28thNov" sheetId="14" r:id="rId10"/>
    <sheet name="1544U_GBTest" sheetId="15" r:id="rId11"/>
    <sheet name="1544U_GBTest_LAPAutoscale_08Dec" sheetId="16" r:id="rId12"/>
    <sheet name="R18_Test#1" sheetId="17" r:id="rId13"/>
    <sheet name="R18_Test#2Baseline" sheetId="18" r:id="rId14"/>
    <sheet name="R18_Test#3_2217Run" sheetId="19" r:id="rId15"/>
    <sheet name="R18_Test#4_2217u" sheetId="20" r:id="rId16"/>
    <sheet name="R18_Test#5_GDC1.2_GB_2217u" sheetId="21" r:id="rId17"/>
    <sheet name="R18.0.1_Test#1_GDC1.3_GB_2217u" sheetId="22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15" l="1"/>
  <c r="D26" i="15"/>
  <c r="E26" i="15"/>
  <c r="F26" i="15"/>
  <c r="G26" i="15"/>
  <c r="H26" i="15"/>
  <c r="I26" i="15"/>
  <c r="J26" i="15"/>
  <c r="K26" i="15"/>
  <c r="L26" i="15"/>
  <c r="M26" i="15"/>
  <c r="N26" i="15"/>
  <c r="B26" i="15"/>
</calcChain>
</file>

<file path=xl/sharedStrings.xml><?xml version="1.0" encoding="utf-8"?>
<sst xmlns="http://schemas.openxmlformats.org/spreadsheetml/2006/main" count="916" uniqueCount="329">
  <si>
    <t>STAGE</t>
  </si>
  <si>
    <t>RUN TYPE</t>
  </si>
  <si>
    <t>START</t>
  </si>
  <si>
    <t>END</t>
  </si>
  <si>
    <t>TEST DATE</t>
  </si>
  <si>
    <t>STATUS</t>
  </si>
  <si>
    <t>Dependencies/Comments</t>
  </si>
  <si>
    <t>DEFECTS</t>
  </si>
  <si>
    <t>SCRIPTING FOR BCC</t>
  </si>
  <si>
    <t>NA</t>
  </si>
  <si>
    <t>DONE</t>
  </si>
  <si>
    <t> </t>
  </si>
  <si>
    <t>SCRIPTING FOR DATA PREP</t>
  </si>
  <si>
    <t>* Only Immigration case templates are present in PERF</t>
  </si>
  <si>
    <t>* TP</t>
  </si>
  <si>
    <t>* Scripts to be updated for Tax templates as well after necessary templates are added in PERF</t>
  </si>
  <si>
    <t>* Service Creation</t>
  </si>
  <si>
    <t>* Merge</t>
  </si>
  <si>
    <t>DATA PREP EXECUTION</t>
  </si>
  <si>
    <t>For all 20K Profiles, TP &amp; Services</t>
  </si>
  <si>
    <t>EXECUTION #1 - Smoke test</t>
  </si>
  <si>
    <t>STANDALONE</t>
  </si>
  <si>
    <t>Restricted to 1 Client and 2000 records
RESULTS shared</t>
  </si>
  <si>
    <t xml:space="preserve">EXECUTION #2 </t>
  </si>
  <si>
    <t>Completed with 5 Clients &amp; 10K records - completed in ~5 hrs 20min (RESULTS shared)
* Observed wait times between web jobs</t>
  </si>
  <si>
    <t>BUG 1459621</t>
  </si>
  <si>
    <t>EXECUTION #3</t>
  </si>
  <si>
    <t>INTEGRATED</t>
  </si>
  <si>
    <t>Run with 1029U AP test run with 2K REC.</t>
  </si>
  <si>
    <t>EXECUTION #4</t>
  </si>
  <si>
    <t>Run with 1544U test run &amp; 6K REC</t>
  </si>
  <si>
    <t>EXECUTION #5</t>
  </si>
  <si>
    <t>STANDLONE GDC RUN with 20K REC for a baseline</t>
  </si>
  <si>
    <t>EXECUTION #6</t>
  </si>
  <si>
    <t>Run with 1544U  test run &amp; 6K REC</t>
  </si>
  <si>
    <t>EXECUTION #7</t>
  </si>
  <si>
    <t>TBD</t>
  </si>
  <si>
    <t>YET TO START</t>
  </si>
  <si>
    <t>Run with 2217U STRESS  test run &amp; 2K REC
(Depending on above runs)</t>
  </si>
  <si>
    <t>EXECUTION #8</t>
  </si>
  <si>
    <t>Run with 1544U  test run &amp; 2K REC (ENDURANCE)
(Depending on above runs)</t>
  </si>
  <si>
    <t>EXECUTION #9</t>
  </si>
  <si>
    <t>Run with 1544U  test run &amp; 20K REC (GOLD BUILD)
(Depending on above runs)</t>
  </si>
  <si>
    <t>SL.NO.</t>
  </si>
  <si>
    <t>DATE OF EXECUTION</t>
  </si>
  <si>
    <t>TYPE OF TEST</t>
  </si>
  <si>
    <t>TEST</t>
  </si>
  <si>
    <t>TIME TO COMPLETE 
PER EACH 2K FILE</t>
  </si>
  <si>
    <t>WEB JOB 1 
PROCESSING TIME</t>
  </si>
  <si>
    <t>WEB JOB 2
PROCESSING TIME</t>
  </si>
  <si>
    <t>WEB JOB 3
PROCESSING TIME</t>
  </si>
  <si>
    <t>RETRY JOB
PROCESSING TIME</t>
  </si>
  <si>
    <t>AVG . TIME PER INPUT CASE
(in sec)</t>
  </si>
  <si>
    <t>All times in hh:mm:ss.mmm</t>
  </si>
  <si>
    <t>1Client_2K REC</t>
  </si>
  <si>
    <t>5 Clients_10K REC</t>
  </si>
  <si>
    <t>1029UAP+2K REC</t>
  </si>
  <si>
    <t>1544UAP+6K REC</t>
  </si>
  <si>
    <t>9 Clients_20K REC</t>
  </si>
  <si>
    <t>1544UAP+9 Clients_20K REC</t>
  </si>
  <si>
    <t>FILES (10K REC)</t>
  </si>
  <si>
    <t>1. CLIENT ID - 4ce60165-4071-4dc8-a29b-9f0ae382ed26
(2K REC)</t>
  </si>
  <si>
    <t>2. CLIENT ID - 8c820a5e-74a7-43ff-a1a5-9f9d042dd0fb
(2K REC)</t>
  </si>
  <si>
    <t>3. CLIENT ID - 6437a817-06f5-4f95-ab7d-964cf90c3f4c
(2K REC)</t>
  </si>
  <si>
    <t>4. CLIENT ID - bcb25c9c-c1bd-42f3-b260-f37eefa8fcc7
(2K REC)</t>
  </si>
  <si>
    <t>5. CLIENT ID - fce0bb0b-a37a-445b-8213-064bfeb7d1f4
(2K REC)</t>
  </si>
  <si>
    <t>SUCCESSFUL</t>
  </si>
  <si>
    <t>CREATE JOB  &gt;&gt;</t>
  </si>
  <si>
    <t>TRIGGER</t>
  </si>
  <si>
    <t>WAIT TIME 0 (START - WJ1) -- &gt;</t>
  </si>
  <si>
    <t>WEB JOB 1 Processing time</t>
  </si>
  <si>
    <t>WAIT TIME 1 (WJ2 - WJ1) -- &gt;</t>
  </si>
  <si>
    <t>WEB JOB 2 Processing time</t>
  </si>
  <si>
    <t>WAIT TIME 2 (WJ3 - WJ2) -- &gt;</t>
  </si>
  <si>
    <t>WEB JOB 3 Processing time</t>
  </si>
  <si>
    <t>WAIT TIME 3 (WJ4 - WJ3) -- &gt;</t>
  </si>
  <si>
    <t>RETRY JOB Processing time</t>
  </si>
  <si>
    <t>TOTAL PROCESSING TIME (hh:mm:ss.000)</t>
  </si>
  <si>
    <t>AVG. Time per input case</t>
  </si>
  <si>
    <t>5 sec per case</t>
  </si>
  <si>
    <t>7.83 sec per case</t>
  </si>
  <si>
    <t>Waiting Time</t>
  </si>
  <si>
    <t>Processingd time</t>
  </si>
  <si>
    <t>EndToEnd- completion</t>
  </si>
  <si>
    <t>Job1</t>
  </si>
  <si>
    <t>Job2</t>
  </si>
  <si>
    <t>Job3</t>
  </si>
  <si>
    <r>
      <t xml:space="preserve">JobGuid </t>
    </r>
    <r>
      <rPr>
        <b/>
        <sz val="10"/>
        <color theme="1"/>
        <rFont val="Wingdings"/>
        <charset val="2"/>
      </rPr>
      <t>à</t>
    </r>
  </si>
  <si>
    <t>00896F2D-351B-49BC-90DB-A04FDFA12ADF</t>
  </si>
  <si>
    <r>
      <t>JobStartDateTime   </t>
    </r>
    <r>
      <rPr>
        <b/>
        <sz val="10"/>
        <color theme="1"/>
        <rFont val="Wingdings"/>
        <charset val="2"/>
      </rPr>
      <t>à</t>
    </r>
  </si>
  <si>
    <t>10/31/2025 20:51 UTC</t>
  </si>
  <si>
    <t xml:space="preserve">STAGES </t>
  </si>
  <si>
    <t>Job Step Name</t>
  </si>
  <si>
    <t>Description</t>
  </si>
  <si>
    <t xml:space="preserve">Job Definition StepStatusId </t>
  </si>
  <si>
    <t>CreatedTimestamp</t>
  </si>
  <si>
    <t>Bulk case create API invoke:</t>
  </si>
  <si>
    <t>CREATE_JOB</t>
  </si>
  <si>
    <t>Log Request to BP Request Header table and Create Job</t>
  </si>
  <si>
    <t>10/31/2025 20:52</t>
  </si>
  <si>
    <t>Web job 1:</t>
  </si>
  <si>
    <t>LOAD_TO_BLOB</t>
  </si>
  <si>
    <t>GDC.CM_LoadData Webjob - Input file upload blob storage</t>
  </si>
  <si>
    <t>10/31/2025 20:55</t>
  </si>
  <si>
    <t>LOAD_TO_STG</t>
  </si>
  <si>
    <t>GDC.CM_LoadData Webjob - Load data to staging tables</t>
  </si>
  <si>
    <t>10/31/2025 21:00</t>
  </si>
  <si>
    <t>Web job 2:</t>
  </si>
  <si>
    <t>DATA_VALIDATE</t>
  </si>
  <si>
    <t>GDC.CM_ValidateData. Validate the case creation request received</t>
  </si>
  <si>
    <t>10/31/2025 21:05</t>
  </si>
  <si>
    <t>10/31/2025 22:14</t>
  </si>
  <si>
    <t>Web job 3:</t>
  </si>
  <si>
    <t>CREATE_CASE</t>
  </si>
  <si>
    <t>GDC.CM_CreateCase.Create Cases at EYMP - Case Created Successfully</t>
  </si>
  <si>
    <t>10/31/2025 22:15</t>
  </si>
  <si>
    <t>CREATE_REPORT</t>
  </si>
  <si>
    <t>GDC.CM_CreateCase.Create Report from Staging table  as Json</t>
  </si>
  <si>
    <t>10/31/2025 22:40</t>
  </si>
  <si>
    <t>GDC.CM_CreateCase.Create Report from Staging table as Excel</t>
  </si>
  <si>
    <t>Retry web job 3:</t>
  </si>
  <si>
    <t>Final status</t>
  </si>
  <si>
    <t>OVERALL BATCH PROCESSING TIME</t>
  </si>
  <si>
    <r>
      <t> </t>
    </r>
    <r>
      <rPr>
        <b/>
        <sz val="10"/>
        <color rgb="FF156082"/>
        <rFont val="Aptos"/>
        <family val="2"/>
      </rPr>
      <t>Final status time - Job start time</t>
    </r>
  </si>
  <si>
    <t>22:40-20:51= 1hour 49 min</t>
  </si>
  <si>
    <t>Time per input case</t>
  </si>
  <si>
    <t>3.27 sec per case</t>
  </si>
  <si>
    <r>
      <rPr>
        <b/>
        <sz val="11"/>
        <color rgb="FF000000"/>
        <rFont val="Aptos Narrow"/>
        <family val="2"/>
        <scheme val="minor"/>
      </rPr>
      <t xml:space="preserve">GDC 2k File Bulk Case Creation Isolated Execution - 31st Oct
</t>
    </r>
    <r>
      <rPr>
        <i/>
        <sz val="11"/>
        <color rgb="FF000000"/>
        <rFont val="Aptos Narrow"/>
        <family val="2"/>
        <scheme val="minor"/>
      </rPr>
      <t>Job GUID - 00896F2D-351B-49BC-90DB-A04FDFA12ADF</t>
    </r>
  </si>
  <si>
    <r>
      <rPr>
        <b/>
        <sz val="11"/>
        <color rgb="FF000000"/>
        <rFont val="Aptos Narrow"/>
        <family val="2"/>
        <scheme val="minor"/>
      </rPr>
      <t xml:space="preserve">1029U AP Full Load + GDC 2k File Bulk Case Creation Execution - 12th Nov
</t>
    </r>
    <r>
      <rPr>
        <i/>
        <sz val="11"/>
        <color rgb="FF000000"/>
        <rFont val="Aptos Narrow"/>
        <family val="2"/>
        <scheme val="minor"/>
      </rPr>
      <t>Job GUID - 12c04481-c70b-4bc5-b16c-80493d08b363</t>
    </r>
  </si>
  <si>
    <t>FILES --&gt;</t>
  </si>
  <si>
    <t>CLIENT ID - 6437a817-06f5-4f95-ab7d-964cf90c3f4c</t>
  </si>
  <si>
    <t>CLIENT ID - fce0bb0b-a37a-445b-8213-064bfeb7d1f4</t>
  </si>
  <si>
    <t>WAIT TIME</t>
  </si>
  <si>
    <t>WEB JOB 1</t>
  </si>
  <si>
    <t>WEB JOB 2</t>
  </si>
  <si>
    <t>WEB JOB 3</t>
  </si>
  <si>
    <t>RETRY JOB</t>
  </si>
  <si>
    <t>TOTAL PROCESSING TIME (hh:mm:ss)</t>
  </si>
  <si>
    <t>AVG.  Time per input case</t>
  </si>
  <si>
    <t>3.26 sec</t>
  </si>
  <si>
    <t>2.68 sec</t>
  </si>
  <si>
    <t>FILES (6K REC)</t>
  </si>
  <si>
    <t>1. CLIENT ID - 4ce60165-4071-4dc8-a29b-9f0ae382ed26
JOB GUID - 9fe66383-c4e1-45f8-99dc-73730125e919
(2K REC)</t>
  </si>
  <si>
    <t>2. CLIENT ID - 4ce60165-4071-4dc8-a29b-9f0ae382ed26
JOB GUID - 9ac8dddd-0ad2-4a1f-b4ea-5d4e2b9f4d2d
(2K REC)</t>
  </si>
  <si>
    <t>3. CLIENT ID - fce0bb0b-a37a-445b-8213-064bfeb7d1f4
JOB GUID - 6b0d356c-3daa-4f4b-aff7-a3a977288bfd
(2K REC)</t>
  </si>
  <si>
    <t>Job Partially Succeeded (1999/2000 processed)</t>
  </si>
  <si>
    <t>Paritally succeeded (1572/2000 processed)</t>
  </si>
  <si>
    <t>Paritally succeeded (1569/2000 processed)</t>
  </si>
  <si>
    <t>7.05 sec</t>
  </si>
  <si>
    <t>6.96 sec</t>
  </si>
  <si>
    <t>6.98 sec</t>
  </si>
  <si>
    <t>FILES (20K REC)</t>
  </si>
  <si>
    <t>1. CLIENT ID - fce0bb0b-a37a-445b-8213-064bfeb7d1f4
JOB GUID - 80acb2e0-597a-4c36-9d48-f74b064d1b5a
(2K REC)</t>
  </si>
  <si>
    <t>2. CLIENT ID - 4ce60165-4071-4dc8-a29b-9f0ae382ed26
JOB GUID - b5b7e2a2-2ce4-49be-88d1-2a11513e9bac
(2K REC)</t>
  </si>
  <si>
    <t>3. CLIENT ID - 8c820a5e-74a7-43ff-a1a5-9f9d042dd0fb
JOB GUID - d448ddf2-602f-4d69-b24e-befefa710a5e
(2K REC)</t>
  </si>
  <si>
    <t>4. CLIENT ID - bcb25c9c-c1bd-42f3-b260-f37eefa8fcc7
JOB GUID - 042bd359-ab5b-4844-8b95-8287570a35db
(2K REC)</t>
  </si>
  <si>
    <t>5. CLIENT ID - e0cc7d72-76ac-4cff-b407-21138dea2dbb
JOB GUID - d632e970-b7b6-42dd-861e-82916e455963
(2K REC)</t>
  </si>
  <si>
    <t>6. CLIENT ID - cfec799a-1260-4098-840e-cbf3a7c6f6a3
JOB GUID - 46731ef3-66d8-4569-8698-2d3ab25fe903
(2K REC)</t>
  </si>
  <si>
    <t>7. CLIENT ID - 69ef852b-0fb3-4baa-8329-29ba4be371cb
JOB GUID - 3b654588-def8-4e90-98d3-9369072d6ef1
(2K REC)</t>
  </si>
  <si>
    <t>8. CLIENT ID - c9099546-2737-4f7a-bd06-c4d4e8afbd1e
JOB GUID - af317b97-e351-4490-bd57-283460a034de
(2K REC)</t>
  </si>
  <si>
    <t>9. CLIENT ID - 6437A817-06F5-4F95-AB7D-964CF90C3F4C
JOB GUID - b793e26c-1f45-4b67-838e-43679e3060d7
(2K REC)</t>
  </si>
  <si>
    <t>9. CLIENT ID - 6437A817-06F5-4F95-AB7D-964CF90C3F4C
JOB GUID - 4386a5d9-283f-460d-b1e7-59f3f98adec6
(2K REC)</t>
  </si>
  <si>
    <t>Job Successfully Completed</t>
  </si>
  <si>
    <t>1. CLIENT ID - FCE0BB0B-A37A-445B-8213-064BFEB7D1F4
JOB GUID - 62909624-cecf-4bfe-b83d-eab1cec99b51
(2K REC)</t>
  </si>
  <si>
    <t>2. CLIENT ID - 4ce60165-4071-4dc8-a29b-9f0ae382ed26
JOB GUID - cd2a179d-9335-47d2-a833-395964ac463c
(2K REC)</t>
  </si>
  <si>
    <t>3. CLIENT ID - 8c820a5e-74a7-43ff-a1a5-9f9d042dd0fb
JOB GUID - 1ad807e6-abeb-462a-b835-d1c5d768d1dc
(2K REC)</t>
  </si>
  <si>
    <t>Job Partially Succeeded (1947/2000 processed)</t>
  </si>
  <si>
    <t>Paritally succeeded (1920/2000 processed)</t>
  </si>
  <si>
    <t>3.05 sec</t>
  </si>
  <si>
    <t>3 sec</t>
  </si>
  <si>
    <t>3.6 sec</t>
  </si>
  <si>
    <t>1. CLIENT ID - fce0bb0b-a37a-445b-8213-064bfeb7d1f4
JOB GUID - df890fe2-9ab0-4773-b8b2-a915c4593c2b
(2K REC)</t>
  </si>
  <si>
    <t>2. CLIENT ID - 4ce60165-4071-4dc8-a29b-9f0ae382ed26
JOB GUID - 1c8f3691-5f8d-4a16-adee-3b53708ea3b9
(2K REC)</t>
  </si>
  <si>
    <t>3. CLIENT ID - 8c820a5e-74a7-43ff-a1a5-9f9d042dd0fb
JOB GUID - c38c7087-4ec4-4b35-9bba-f387cc195c10
(2K REC)</t>
  </si>
  <si>
    <t>4. CLIENT ID - bcb25c9c-c1bd-42f3-b260-f37eefa8fcc7
JOB GUID - 3597ce89-b8ae-4eab-b333-2fd4f54dd671
(2K REC)</t>
  </si>
  <si>
    <t>5. CLIENT ID - e0cc7d72-76ac-4cff-b407-21138dea2dbb
JOB GUID - 1859a61f-0af1-499f-b4cd-5d6587209ea7
(2K REC)</t>
  </si>
  <si>
    <t>6. CLIENT ID - cfec799a-1260-4098-840e-cbf3a7c6f6a3
JOB GUID - dc958244-2dd4-4292-807b-7706a3741a97
(2K REC)</t>
  </si>
  <si>
    <t>7. CLIENT ID - 69ef852b-0fb3-4baa-8329-29ba4be371cb
JOB GUID - d28eac5e-f65a-49d0-8b43-b32af3812a73
(2K REC)</t>
  </si>
  <si>
    <t>8. CLIENT ID - c9099546-2737-4f7a-bd06-c4d4e8afbd1e
JOB GUID - 928d6b1f-50a5-4227-917b-396994db1408
(2K REC)</t>
  </si>
  <si>
    <t>9. CLIENT ID - 6437A817-06F5-4F95-AB7D-964CF90C3F4C
JOB GUID - 0f245fbf-9047-4fd7-97d9-4c3a7c3dadce
(2K REC)</t>
  </si>
  <si>
    <t>9. CLIENT ID - 6437A817-06F5-4F95-AB7D-964CF90C3F4C
JOB GUID - 07dbab8d-1e4e-4b1c-b7eb-0e18ab131c39
(2K REC)</t>
  </si>
  <si>
    <t>TOTAL PROCESSING TIME 
(hh:mm:ss.000)</t>
  </si>
  <si>
    <t>7 Records Triggered 
in Every 5 Mins</t>
  </si>
  <si>
    <t>Total Processing Time</t>
  </si>
  <si>
    <t>Time/Case Creation</t>
  </si>
  <si>
    <t>Iteration 1</t>
  </si>
  <si>
    <t>Iteration 2</t>
  </si>
  <si>
    <t>Iteration 3</t>
  </si>
  <si>
    <t>Iteration 4</t>
  </si>
  <si>
    <t>Iteration 5</t>
  </si>
  <si>
    <t>Iteration 6</t>
  </si>
  <si>
    <t>Iteration 7</t>
  </si>
  <si>
    <t>Iteration 8</t>
  </si>
  <si>
    <t>Iteration 9</t>
  </si>
  <si>
    <t>Iteration 10</t>
  </si>
  <si>
    <t>Iteration 11</t>
  </si>
  <si>
    <t>Iteration 12</t>
  </si>
  <si>
    <t>Iteration 13</t>
  </si>
  <si>
    <t>1. CLIENT ID - fce0bb0b-a37a-445b-8213-064bfeb7d1f4
JOB GUID - e5e6b0fe-a470-4f5f-8e6c-a4178a669d23
(2K REC)</t>
  </si>
  <si>
    <t>2. CLIENT ID - 4ce60165-4071-4dc8-a29b-9f0ae382ed26
JOB GUID - 0f3696c5-7fde-4589-a915-6a51a3ee3013</t>
  </si>
  <si>
    <t>3. CLIENT ID - 8c820a5e-74a7-43ff-a1a5-9f9d042dd0fb
JOB GUID - 08e7ee29-92ea-42c1-a3b3-a8db92d64597
(2K REC)</t>
  </si>
  <si>
    <t>4. CLIENT ID - bcb25c9c-c1bd-42f3-b260-f37eefa8fcc7
JOB GUID - 819fa0fb-8c7c-49e7-9bcd-4a3f15254bce
(2K REC)</t>
  </si>
  <si>
    <t>5. CLIENT ID - e0cc7d72-76ac-4cff-b407-21138dea2dbb
JOB GUID - c9766928-209e-49ae-928a-190b7887b628
(2K REC)</t>
  </si>
  <si>
    <t>6. CLIENT ID - cfec799a-1260-4098-840e-cbf3a7c6f6a3
JOB GUID -4f79122b-805a-403b-b704-346b5b3b9763
(2K REC)</t>
  </si>
  <si>
    <t>7. CLIENT ID - 69ef852b-0fb3-4baa-8329-29ba4be371cb
JOB GUID - 42e37115-4aef-409f-8db0-3f9e36b2d5cc
(2K REC)</t>
  </si>
  <si>
    <t>8. CLIENT ID - c9099546-2737-4f7a-bd06-c4d4e8afbd1e
JOB GUID - 3a96563b-5f12-49c5-bc6e-9e5591d53ee2
(2K REC)</t>
  </si>
  <si>
    <t>9. CLIENT ID - 6437A817-06F5-4F95-AB7D-964CF90C3F4C
JOB GUID - 54d2753f-7b4b-4af4-8cde-0563e338a096
(2K REC)</t>
  </si>
  <si>
    <t>9. CLIENT ID - 6437A817-06F5-4F95-AB7D-964CF90C3F4C
JOB GUID -027c21a2-8044-49a2-8502-9313819c995b
(2K REC)</t>
  </si>
  <si>
    <t>e5e6b0fe-a470-4f5f-8e6c-a4178a669d23</t>
  </si>
  <si>
    <t>0f3696c5-7fde-4589-a915-6a51a3ee3013</t>
  </si>
  <si>
    <t> 08e7ee29-92ea-42c1-a3b3-a8db92d64597</t>
  </si>
  <si>
    <t>819fa0fb-8c7c-49e7-9bcd-4a3f15254bce</t>
  </si>
  <si>
    <t>c9766928-209e-49ae-928a-190b7887b628</t>
  </si>
  <si>
    <t>4f79122b-805a-403b-b704-346b5b3b9763</t>
  </si>
  <si>
    <t>42e37115-4aef-409f-8db0-3f9e36b2d5cc</t>
  </si>
  <si>
    <t>3a96563b-5f12-49c5-bc6e-9e5591d53ee2</t>
  </si>
  <si>
    <t>54d2753f-7b4b-4af4-8cde-0563e338a096</t>
  </si>
  <si>
    <t>027c21a2-8044-49a2-8502-9313819c995b</t>
  </si>
  <si>
    <t>Job partially succeeded 
(1972/2000)</t>
  </si>
  <si>
    <t>Job successfully completed</t>
  </si>
  <si>
    <t>Job partially succeeded 
(1981/2000)</t>
  </si>
  <si>
    <t>Job partially succeeded 
(1998/2000)</t>
  </si>
  <si>
    <t>7 DATA FILES</t>
  </si>
  <si>
    <t>JobId:117</t>
  </si>
  <si>
    <t>JobId:133</t>
  </si>
  <si>
    <t>JobId:135</t>
  </si>
  <si>
    <t>JobId:115</t>
  </si>
  <si>
    <t>JobId:119</t>
  </si>
  <si>
    <t>JobId:132</t>
  </si>
  <si>
    <t>JobId:134</t>
  </si>
  <si>
    <t>JobId:131</t>
  </si>
  <si>
    <t>JobId:118</t>
  </si>
  <si>
    <t>JobId:137</t>
  </si>
  <si>
    <t>JobId:136</t>
  </si>
  <si>
    <t>JobId:116</t>
  </si>
  <si>
    <t>JobId:122</t>
  </si>
  <si>
    <t>JobRequest</t>
  </si>
  <si>
    <t>Waitingtime</t>
  </si>
  <si>
    <t>WebJob1</t>
  </si>
  <si>
    <t>WebJob2</t>
  </si>
  <si>
    <t>WebJob3</t>
  </si>
  <si>
    <t>OverAll Waittime</t>
  </si>
  <si>
    <t>Execution time</t>
  </si>
  <si>
    <t>Client ID</t>
  </si>
  <si>
    <t>Job GUID</t>
  </si>
  <si>
    <t>STATUS 20K</t>
  </si>
  <si>
    <t>fce0bb0b-a37a-445b-8213-064bfeb7d1f4</t>
  </si>
  <si>
    <t xml:space="preserve">Job partially succeeded </t>
  </si>
  <si>
    <t>(1972/2000)</t>
  </si>
  <si>
    <t>4ce60165-4071-4dc8-a29b-9f0ae382ed26</t>
  </si>
  <si>
    <t>8c820a5e-74a7-43ff-a1a5-9f9d042dd0fb</t>
  </si>
  <si>
    <t>bcb25c9c-c1bd-42f3-b260-f37eefa8fcc7</t>
  </si>
  <si>
    <t>e0cc7d72-76ac-4cff-b407-21138dea2dbb</t>
  </si>
  <si>
    <t>cfec799a-1260-4098-840e-cbf3a7c6f6a3</t>
  </si>
  <si>
    <t>69ef852b-0fb3-4baa-8329-29ba4be371cb</t>
  </si>
  <si>
    <t>Job Partially Succeeded</t>
  </si>
  <si>
    <t>(1981/2000)</t>
  </si>
  <si>
    <t>c9099546-2737-4f7a-bd06-c4d4e8afbd1e</t>
  </si>
  <si>
    <t>(1998/2000)</t>
  </si>
  <si>
    <t>6437a817-06f5-4f95-ab7d-964cf90c3f4c</t>
  </si>
  <si>
    <t>Job GUID-7 data files</t>
  </si>
  <si>
    <t>STATUS 7 data</t>
  </si>
  <si>
    <t>08f6a11a-1fcb-40bf-aa9d-2a38d20224c3</t>
  </si>
  <si>
    <t>4/7 processed</t>
  </si>
  <si>
    <t>1b5059a0-9db7-4d75-bcd6-bd7488e3fc94</t>
  </si>
  <si>
    <t>218de142-8573-4fc2-af86-0a0b313ae1f7</t>
  </si>
  <si>
    <t>37c21d2f-2b29-4314-9da9-0dc6ffe523e7</t>
  </si>
  <si>
    <t>3/7 processed</t>
  </si>
  <si>
    <t>57118d9c-a502-4c6d-8624-aeedce2126a4</t>
  </si>
  <si>
    <t>59e64bcb-edd6-4aba-acd4-2a5c9dc2f58b</t>
  </si>
  <si>
    <t>72cc72e7-df24-4c28-baad-a55ea3ef943b</t>
  </si>
  <si>
    <t>a18acc9f-1bd8-42e9-8e62-12822e92ca08</t>
  </si>
  <si>
    <t>a2f93316-e163-4797-82b1-8809ffcc41c9</t>
  </si>
  <si>
    <t>a5701676-7001-4069-922e-22742f2f6fc2</t>
  </si>
  <si>
    <t>b0ffc442-9eff-4fe7-92b9-9198c6a302d7</t>
  </si>
  <si>
    <t>d9df8782-b81d-4331-af18-35c7e5ea55b5</t>
  </si>
  <si>
    <t>e31d3338-78ee-4bfa-9408-0c9450ca3e91</t>
  </si>
  <si>
    <t>1. CLIENT ID - fce0bb0b-a37a-445b-8213-064bfeb7d1f4
JOB GUID - 4d0a84be-fdce-43b9-8e34-a8d18864066a
(2K REC)</t>
  </si>
  <si>
    <t>2. CLIENT ID - 4ce60165-4071-4dc8-a29b-9f0ae382ed26
JOB GUID - 1b8faa40-1e3a-44ba-9107-351eb25e7fef
(2K REC)</t>
  </si>
  <si>
    <t>3. CLIENT ID - 8c820a5e-74a7-43ff-a1a5-9f9d042dd0fb
JOB GUID - 7c9120b0-b456-48e4-ba5f-bad45c954122
(2K REC)</t>
  </si>
  <si>
    <t>4. CLIENT ID - bcb25c9c-c1bd-42f3-b260-f37eefa8fcc7
JOB GUID - 8b7fa47d-4cbb-45a2-86be-fcb98040f2a6
(2K REC)</t>
  </si>
  <si>
    <t>5. CLIENT ID - e0cc7d72-76ac-4cff-b407-21138dea2dbb
JOB GUID - 6520540c-249e-4017-b37a-c45ca1651786
(2K REC)</t>
  </si>
  <si>
    <t>6. CLIENT ID - cfec799a-1260-4098-840e-cbf3a7c6f6a3
JOB GUID - fb0e9a91-3cfd-4d13-99a7-6bc7a0e5f110
(2K REC)</t>
  </si>
  <si>
    <t>7. CLIENT ID - 69ef852b-0fb3-4baa-8329-29ba4be371cb
JOB GUID - e4c92cee-926b-4441-8c35-b8a7b6902804
(2K REC)</t>
  </si>
  <si>
    <t>8. CLIENT ID - c9099546-2737-4f7a-bd06-c4d4e8afbd1e
JOB GUID - b515ad3b-0363-4ba2-ac38-93e66d360bdb
(2K REC)</t>
  </si>
  <si>
    <t>9. CLIENT ID - 6437A817-06F5-4F95-AB7D-964CF90C3F4C
JOB GUID - bdaee162-824e-4cf9-931b-ffd63fdb697a
(2K REC)</t>
  </si>
  <si>
    <t>9. CLIENT ID - 6437A817-06F5-4F95-AB7D-964CF90C3F4C
JOB GUID - d9cc727a-20ad-4951-8a76-0514da63b2d7
(2K REC)</t>
  </si>
  <si>
    <t>JOB GUID</t>
  </si>
  <si>
    <t>6437A817-06F5-4F95-AB7D-964CF90C3F4C</t>
  </si>
  <si>
    <t>4eda46c2-486f-42f0-a96a-7cfe857b9c53     Job Successfully Completed</t>
  </si>
  <si>
    <t>ded124f9-79d2-4900-a5d9-6fd01bc642f1    Job Successfully Completed</t>
  </si>
  <si>
    <t>FCE0BB0B-A37A-445B-8213-064BFEB7D1F4</t>
  </si>
  <si>
    <t>bcf2a698-9e68-4958-9e07-d8c4372e7408   Job Successfully Completed</t>
  </si>
  <si>
    <t>4CE60165-4071-4DC8-A29B-9F0AE382ED26</t>
  </si>
  <si>
    <t>76f72634-70e6-491b-ad61-5d0b5d39f19f   Job Successfully Completed</t>
  </si>
  <si>
    <t>25091fde-2aa5-4f94-81fa-3a926dac26dd    Job Successfully Completed</t>
  </si>
  <si>
    <t>6ccb048b-f26c-45df-8fc8-21dcc54dd632     Job Successfully Completed</t>
  </si>
  <si>
    <t>f24d48e8-aa43-4f9c-91b7-9512f94749b1    Job Successfully Completed</t>
  </si>
  <si>
    <t>5a6ebeca-0663-4659-9aaf-c4382533f394    Job Successfully Completed</t>
  </si>
  <si>
    <t>264d33ef-8d64-4303-932f-7f3ee7ecf640     Job Successfully Completed</t>
  </si>
  <si>
    <t>34bed8af-297b-4755-b551-f8018dcc7f4a   Job Successfully Completed</t>
  </si>
  <si>
    <t>1. CLIENT ID - fce0bb0b-a37a-445b-8213-064bfeb7d1f4
JOB GUID - 973c6256-224a-4320-bfd3-992639013fb4
(2K REC)</t>
  </si>
  <si>
    <t>2. CLIENT ID - 4ce60165-4071-4dc8-a29b-9f0ae382ed26
JOB GUID - 85ecfc2d-aff3-485f-bade-e71466837a84
(2K REC)</t>
  </si>
  <si>
    <t>FILES (4K REC)</t>
  </si>
  <si>
    <t>1. CLIENT ID - fce0bb0b-a37a-445b-8213-064bfeb7d1f4
JOB GUID - 6d89f667-a691-4f79-af05-ee20294d1612
(2K REC)</t>
  </si>
  <si>
    <t>2. CLIENT ID - 4ce60165-4071-4dc8-a29b-9f0ae382ed26
JOB GUID - 3263614f-2f8b-44d5-879c-2563a37243a9
(2K REC)</t>
  </si>
  <si>
    <t>Job Partially Succeeded (1983/2000)</t>
  </si>
  <si>
    <t>Job Partially Succeeded (1967/2000)</t>
  </si>
  <si>
    <t>4K GDC</t>
  </si>
  <si>
    <r>
      <rPr>
        <sz val="11"/>
        <color rgb="FF000000"/>
        <rFont val="Aptos Narrow"/>
        <scheme val="minor"/>
      </rPr>
      <t xml:space="preserve">6437A817-06F5-4F95-AB7D-964CF90C3F4C </t>
    </r>
    <r>
      <rPr>
        <sz val="11"/>
        <color rgb="FF1E53A3"/>
        <rFont val="Aptos Narrow"/>
        <scheme val="minor"/>
      </rPr>
      <t>c6cd0be3-f612-43a5-b223-7092eb119954   Job Successfully Completed</t>
    </r>
  </si>
  <si>
    <r>
      <rPr>
        <sz val="11"/>
        <color rgb="FF000000"/>
        <rFont val="Aptos Narrow"/>
        <scheme val="minor"/>
      </rPr>
      <t>c9099546-2737-4f7a-bd06-c4d4e8afbd1e     </t>
    </r>
    <r>
      <rPr>
        <sz val="11"/>
        <color rgb="FF1E53A3"/>
        <rFont val="Aptos Narrow"/>
        <scheme val="minor"/>
      </rPr>
      <t>83e036b1-4cfa-4b05-8822-ab48a402eeaf    Job Partially Succeeded</t>
    </r>
  </si>
  <si>
    <t>aptured JOBGUID_0be9999c-e16c-4be0-be15-609f9adfdc4b,Client_6437a817-06f5-4f95-ab7d-964cf90c3f4c</t>
  </si>
  <si>
    <t>Captured JOBGUID_6040b67e-4b7c-4b61-8a74-232c93400a5c,Client_6437a817-06f5-4f95-ab7d-964cf90c3f4c</t>
  </si>
  <si>
    <t>Captured JOBGUID_7d521228-2b69-454a-87e8-5ca76f355dee,Client_6437a817-06f5-4f95-ab7d-964cf90c3f4c</t>
  </si>
  <si>
    <t>Captured JOBGUID_900057b1-f4fc-4d70-b34a-a6bc898d7d0a,Client_6437a817-06f5-4f95-ab7d-964cf90c3f4c</t>
  </si>
  <si>
    <t>Captured JOBGUID_9d2aeb28-961d-4bb2-9268-c9697401f106,Client_6437a817-06f5-4f95-ab7d-964cf90c3f4c</t>
  </si>
  <si>
    <t>Captured JOBGUID_a1497cde-c0b8-45f3-b898-922202edf36f,Client_6437a817-06f5-4f95-ab7d-964cf90c3f4c</t>
  </si>
  <si>
    <t>Captured JOBGUID_b3a69f5f-ff9e-4a4b-af33-5635b5c90ebf,Client_6437a817-06f5-4f95-ab7d-964cf90c3f4c</t>
  </si>
  <si>
    <t>Captured JOBGUID_c99fb5a8-1be6-4289-ba3e-976d074709b7,Client_6437a817-06f5-4f95-ab7d-964cf90c3f4c</t>
  </si>
  <si>
    <t>Captured JOBGUID_ca5d0784-5d77-400f-a51f-c56fbd3addc0,Client_6437a817-06f5-4f95-ab7d-964cf90c3f4c</t>
  </si>
  <si>
    <t>Captured JOBGUID_ca9bc260-d6e7-48ca-ad84-66e9dd8236dc,Client_6437a817-06f5-4f95-ab7d-964cf90c3f4c</t>
  </si>
  <si>
    <t>Captured JOBGUID_e1bdb88c-5bc5-4bd3-bdae-e4cd816b4141,Client_6437a817-06f5-4f95-ab7d-964cf90c3f4c</t>
  </si>
  <si>
    <t>Captured JOBGUID_f244ec8e-ef53-449e-966c-8cdde5aa784f,Client_6437a817-06f5-4f95-ab7d-964cf90c3f4c</t>
  </si>
  <si>
    <t>Captured JOBGUID_f9e48667-9bc5-409e-a983-79ab9eec9db1,Client_6437a817-06f5-4f95-ab7d-964cf90c3f4c</t>
  </si>
  <si>
    <t>1. CLIENT ID - 6437A817-06F5-4F95-AB7D-964CF90C3F4C
JOB GUID - c6cd0be3-f612-43a5-b223-7092eb119954
(2K REC)</t>
  </si>
  <si>
    <t>2. CLIENT ID - c9099546-2737-4f7a-bd06-c4d4e8afbd1e
JOB GUID - 83e036b1-4cfa-4b05-8822-ab48a402eeaf
(2K REC)</t>
  </si>
  <si>
    <t>Job Partially Succeeded (1999/2000)</t>
  </si>
  <si>
    <t>1. CLIENT ID - 6437A817-06F5-4F95-AB7D-964CF90C3F4C
JOB GUID - 458f5eeb-ddfa-42ec-978e-a7ab7d125b4b
(2K REC)</t>
  </si>
  <si>
    <t>Job Failed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</si>
</sst>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:ss.000"/>
  </numFmts>
  <fonts count="58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196B24"/>
      <name val="Aptos Narrow"/>
      <family val="2"/>
      <scheme val="minor"/>
    </font>
    <font>
      <i/>
      <sz val="10"/>
      <color theme="5"/>
      <name val="Aptos Narrow"/>
      <family val="2"/>
      <scheme val="minor"/>
    </font>
    <font>
      <sz val="10"/>
      <color theme="1"/>
      <name val="Times New Roman"/>
      <family val="1"/>
    </font>
    <font>
      <b/>
      <i/>
      <sz val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0"/>
      <color theme="1"/>
      <name val="Aptos"/>
      <family val="2"/>
    </font>
    <font>
      <b/>
      <sz val="10"/>
      <color theme="1"/>
      <name val="Wingdings"/>
      <charset val="2"/>
    </font>
    <font>
      <sz val="10"/>
      <color theme="1"/>
      <name val="Aptos"/>
      <family val="2"/>
    </font>
    <font>
      <b/>
      <sz val="10"/>
      <color rgb="FF000000"/>
      <name val="Aptos"/>
      <family val="2"/>
    </font>
    <font>
      <b/>
      <sz val="10"/>
      <color rgb="FF156082"/>
      <name val="Aptos"/>
      <family val="2"/>
    </font>
    <font>
      <sz val="10"/>
      <color rgb="FF156082"/>
      <name val="Aptos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  <font>
      <u/>
      <sz val="11"/>
      <color theme="10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196B24"/>
      <name val="Aptos Narrow"/>
      <family val="2"/>
    </font>
    <font>
      <sz val="10"/>
      <color rgb="FF000000"/>
      <name val="Times New Roman"/>
      <family val="1"/>
    </font>
    <font>
      <b/>
      <sz val="11"/>
      <color rgb="FF156082"/>
      <name val="Aptos Narrow"/>
      <family val="2"/>
    </font>
    <font>
      <b/>
      <sz val="11"/>
      <color rgb="FFFF0000"/>
      <name val="Aptos Narrow"/>
      <family val="2"/>
    </font>
    <font>
      <b/>
      <i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b/>
      <sz val="11"/>
      <color theme="6"/>
      <name val="Aptos Narrow"/>
      <family val="2"/>
      <scheme val="minor"/>
    </font>
    <font>
      <b/>
      <i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theme="5" tint="0.39997558519241921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sz val="11"/>
      <color rgb="FF156082"/>
      <name val="Aptos Narrow"/>
      <family val="2"/>
    </font>
    <font>
      <b/>
      <sz val="11"/>
      <color rgb="FFC0000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6"/>
      <name val="Aptos Narrow"/>
      <family val="2"/>
    </font>
    <font>
      <b/>
      <sz val="9"/>
      <color rgb="FF000000"/>
      <name val="Aptos Narrow"/>
      <family val="2"/>
      <scheme val="minor"/>
    </font>
    <font>
      <sz val="10"/>
      <color rgb="FF000000"/>
      <name val="Aptos Narrow"/>
      <family val="2"/>
    </font>
    <font>
      <sz val="10"/>
      <color theme="1"/>
      <name val="Aptos Narrow"/>
      <family val="2"/>
      <scheme val="minor"/>
    </font>
    <font>
      <b/>
      <sz val="9"/>
      <color rgb="FF000000"/>
      <name val="Aptos Narrow"/>
      <family val="2"/>
    </font>
    <font>
      <b/>
      <i/>
      <sz val="9"/>
      <name val="Aptos Narrow"/>
      <family val="2"/>
      <scheme val="minor"/>
    </font>
    <font>
      <b/>
      <sz val="9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</font>
    <font>
      <b/>
      <sz val="10"/>
      <name val="Aptos Narrow"/>
      <family val="2"/>
      <scheme val="minor"/>
    </font>
    <font>
      <i/>
      <sz val="10"/>
      <color rgb="FF000000"/>
      <name val="Aptos Narrow"/>
      <family val="2"/>
    </font>
    <font>
      <sz val="10"/>
      <color rgb="FFFF0000"/>
      <name val="Aptos Narrow"/>
      <family val="2"/>
    </font>
    <font>
      <sz val="10"/>
      <color theme="6" tint="0.39997558519241921"/>
      <name val="Aptos Narrow"/>
      <family val="2"/>
    </font>
    <font>
      <sz val="10"/>
      <color theme="1"/>
      <name val="Aptos Narrow"/>
      <family val="2"/>
    </font>
    <font>
      <sz val="10"/>
      <color rgb="FF000000"/>
      <name val="Aptos Narrow"/>
    </font>
    <font>
      <sz val="10"/>
      <color theme="6" tint="0.39997558519241921"/>
      <name val="Aptos Narrow"/>
    </font>
    <font>
      <sz val="10"/>
      <color rgb="FFFF0000"/>
      <name val="Aptos Narrow"/>
    </font>
    <font>
      <sz val="10"/>
      <color theme="1"/>
      <name val="Aptos Narrow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DC030"/>
      <name val="Aptos Narrow"/>
      <family val="2"/>
      <scheme val="minor"/>
    </font>
    <font>
      <sz val="11"/>
      <color rgb="FF000000"/>
      <name val="Aptos Narrow"/>
      <scheme val="minor"/>
    </font>
    <font>
      <sz val="11"/>
      <color rgb="FF1E53A3"/>
      <name val="Aptos Narrow"/>
      <scheme val="minor"/>
    </font>
    <font>
      <sz val="11"/>
      <color theme="1"/>
      <name val="Aptos Narrow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7D359"/>
        <bgColor indexed="64"/>
      </patternFill>
    </fill>
    <fill>
      <patternFill patternType="solid">
        <fgColor rgb="FFF1A98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B5E6A2"/>
        <bgColor rgb="FF000000"/>
      </patternFill>
    </fill>
    <fill>
      <patternFill patternType="solid">
        <fgColor rgb="FFFFFF66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370">
    <xf numFmtId="0" fontId="0" fillId="0" borderId="0" xfId="0"/>
    <xf numFmtId="0" fontId="0" fillId="2" borderId="0" xfId="0" applyFill="1"/>
    <xf numFmtId="0" fontId="2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3" fillId="2" borderId="1" xfId="0" applyNumberFormat="1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164" fontId="1" fillId="6" borderId="1" xfId="0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left" vertical="center" wrapText="1"/>
    </xf>
    <xf numFmtId="164" fontId="1" fillId="7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wrapText="1"/>
    </xf>
    <xf numFmtId="164" fontId="1" fillId="8" borderId="1" xfId="0" applyNumberFormat="1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 vertical="center" wrapText="1"/>
    </xf>
    <xf numFmtId="164" fontId="1" fillId="9" borderId="1" xfId="0" applyNumberFormat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0" fillId="10" borderId="2" xfId="0" applyFont="1" applyFill="1" applyBorder="1" applyAlignment="1">
      <alignment vertical="center" wrapText="1"/>
    </xf>
    <xf numFmtId="0" fontId="10" fillId="10" borderId="6" xfId="0" applyFont="1" applyFill="1" applyBorder="1" applyAlignment="1">
      <alignment vertical="center" wrapText="1"/>
    </xf>
    <xf numFmtId="0" fontId="9" fillId="0" borderId="6" xfId="0" applyFont="1" applyBorder="1" applyAlignment="1">
      <alignment vertical="center" wrapText="1"/>
    </xf>
    <xf numFmtId="0" fontId="9" fillId="0" borderId="6" xfId="0" applyFont="1" applyBorder="1" applyAlignment="1">
      <alignment horizontal="center" vertical="center" wrapText="1"/>
    </xf>
    <xf numFmtId="0" fontId="7" fillId="0" borderId="6" xfId="0" applyFont="1" applyBorder="1" applyAlignment="1">
      <alignment vertical="center" wrapText="1"/>
    </xf>
    <xf numFmtId="0" fontId="0" fillId="11" borderId="0" xfId="0" applyFill="1"/>
    <xf numFmtId="0" fontId="0" fillId="11" borderId="11" xfId="0" applyFill="1" applyBorder="1" applyAlignment="1">
      <alignment vertical="center" wrapText="1"/>
    </xf>
    <xf numFmtId="0" fontId="13" fillId="11" borderId="2" xfId="0" applyFont="1" applyFill="1" applyBorder="1" applyAlignment="1">
      <alignment vertical="center" wrapText="1"/>
    </xf>
    <xf numFmtId="0" fontId="14" fillId="12" borderId="2" xfId="0" applyFont="1" applyFill="1" applyBorder="1" applyAlignment="1">
      <alignment vertical="center" wrapText="1"/>
    </xf>
    <xf numFmtId="21" fontId="14" fillId="12" borderId="6" xfId="0" applyNumberFormat="1" applyFont="1" applyFill="1" applyBorder="1" applyAlignment="1">
      <alignment vertical="center" wrapText="1"/>
    </xf>
    <xf numFmtId="21" fontId="14" fillId="11" borderId="0" xfId="0" applyNumberFormat="1" applyFont="1" applyFill="1" applyAlignment="1">
      <alignment vertical="center" wrapText="1"/>
    </xf>
    <xf numFmtId="0" fontId="4" fillId="11" borderId="2" xfId="0" applyFont="1" applyFill="1" applyBorder="1" applyAlignment="1">
      <alignment vertical="center" wrapText="1"/>
    </xf>
    <xf numFmtId="0" fontId="4" fillId="11" borderId="6" xfId="0" applyFont="1" applyFill="1" applyBorder="1" applyAlignment="1">
      <alignment vertical="center" wrapText="1"/>
    </xf>
    <xf numFmtId="0" fontId="4" fillId="11" borderId="4" xfId="0" applyFont="1" applyFill="1" applyBorder="1" applyAlignment="1">
      <alignment vertical="center" wrapText="1"/>
    </xf>
    <xf numFmtId="0" fontId="14" fillId="6" borderId="2" xfId="0" applyFont="1" applyFill="1" applyBorder="1" applyAlignment="1">
      <alignment vertical="center" wrapText="1"/>
    </xf>
    <xf numFmtId="21" fontId="14" fillId="6" borderId="6" xfId="0" applyNumberFormat="1" applyFont="1" applyFill="1" applyBorder="1" applyAlignment="1">
      <alignment vertical="center" wrapText="1"/>
    </xf>
    <xf numFmtId="0" fontId="14" fillId="13" borderId="2" xfId="0" applyFont="1" applyFill="1" applyBorder="1" applyAlignment="1">
      <alignment vertical="center" wrapText="1"/>
    </xf>
    <xf numFmtId="21" fontId="14" fillId="13" borderId="6" xfId="0" applyNumberFormat="1" applyFont="1" applyFill="1" applyBorder="1" applyAlignment="1">
      <alignment vertical="center" wrapText="1"/>
    </xf>
    <xf numFmtId="0" fontId="14" fillId="14" borderId="2" xfId="0" applyFont="1" applyFill="1" applyBorder="1" applyAlignment="1">
      <alignment vertical="center" wrapText="1"/>
    </xf>
    <xf numFmtId="21" fontId="14" fillId="14" borderId="6" xfId="0" applyNumberFormat="1" applyFont="1" applyFill="1" applyBorder="1" applyAlignment="1">
      <alignment vertical="center" wrapText="1"/>
    </xf>
    <xf numFmtId="0" fontId="16" fillId="4" borderId="15" xfId="0" applyFont="1" applyFill="1" applyBorder="1"/>
    <xf numFmtId="0" fontId="16" fillId="4" borderId="16" xfId="0" applyFont="1" applyFill="1" applyBorder="1"/>
    <xf numFmtId="0" fontId="16" fillId="15" borderId="19" xfId="0" applyFont="1" applyFill="1" applyBorder="1" applyAlignment="1">
      <alignment horizontal="left" vertical="top" wrapText="1"/>
    </xf>
    <xf numFmtId="0" fontId="16" fillId="15" borderId="19" xfId="0" applyFont="1" applyFill="1" applyBorder="1" applyAlignment="1">
      <alignment vertical="top" wrapText="1"/>
    </xf>
    <xf numFmtId="0" fontId="0" fillId="2" borderId="0" xfId="0" applyFill="1" applyAlignment="1">
      <alignment horizontal="center"/>
    </xf>
    <xf numFmtId="0" fontId="16" fillId="4" borderId="16" xfId="0" applyFont="1" applyFill="1" applyBorder="1" applyAlignment="1">
      <alignment horizontal="center"/>
    </xf>
    <xf numFmtId="14" fontId="17" fillId="15" borderId="18" xfId="0" applyNumberFormat="1" applyFont="1" applyFill="1" applyBorder="1" applyAlignment="1">
      <alignment horizontal="center" vertical="top"/>
    </xf>
    <xf numFmtId="0" fontId="0" fillId="2" borderId="0" xfId="0" applyFill="1" applyAlignment="1">
      <alignment horizontal="center" vertical="top"/>
    </xf>
    <xf numFmtId="0" fontId="16" fillId="4" borderId="16" xfId="0" applyFont="1" applyFill="1" applyBorder="1" applyAlignment="1">
      <alignment horizontal="center" vertical="top"/>
    </xf>
    <xf numFmtId="0" fontId="16" fillId="15" borderId="17" xfId="0" applyFont="1" applyFill="1" applyBorder="1" applyAlignment="1">
      <alignment vertical="top"/>
    </xf>
    <xf numFmtId="0" fontId="16" fillId="15" borderId="18" xfId="0" applyFont="1" applyFill="1" applyBorder="1" applyAlignment="1">
      <alignment vertical="top"/>
    </xf>
    <xf numFmtId="0" fontId="19" fillId="15" borderId="18" xfId="0" applyFont="1" applyFill="1" applyBorder="1" applyAlignment="1">
      <alignment vertical="top"/>
    </xf>
    <xf numFmtId="0" fontId="17" fillId="15" borderId="18" xfId="0" applyFont="1" applyFill="1" applyBorder="1" applyAlignment="1">
      <alignment vertical="top"/>
    </xf>
    <xf numFmtId="0" fontId="17" fillId="15" borderId="20" xfId="0" applyFont="1" applyFill="1" applyBorder="1" applyAlignment="1">
      <alignment vertical="top" wrapText="1"/>
    </xf>
    <xf numFmtId="0" fontId="17" fillId="15" borderId="18" xfId="0" applyFont="1" applyFill="1" applyBorder="1" applyAlignment="1">
      <alignment vertical="top" wrapText="1"/>
    </xf>
    <xf numFmtId="0" fontId="15" fillId="15" borderId="18" xfId="1" applyFill="1" applyBorder="1" applyAlignment="1">
      <alignment vertical="top"/>
    </xf>
    <xf numFmtId="0" fontId="16" fillId="15" borderId="18" xfId="0" applyFont="1" applyFill="1" applyBorder="1" applyAlignment="1">
      <alignment vertical="top" wrapText="1"/>
    </xf>
    <xf numFmtId="0" fontId="22" fillId="15" borderId="18" xfId="0" applyFont="1" applyFill="1" applyBorder="1" applyAlignment="1">
      <alignment vertical="top" wrapText="1"/>
    </xf>
    <xf numFmtId="0" fontId="18" fillId="15" borderId="18" xfId="0" applyFont="1" applyFill="1" applyBorder="1" applyAlignment="1">
      <alignment horizontal="center" vertical="top"/>
    </xf>
    <xf numFmtId="0" fontId="21" fillId="15" borderId="18" xfId="0" applyFont="1" applyFill="1" applyBorder="1" applyAlignment="1">
      <alignment horizontal="center" vertical="top"/>
    </xf>
    <xf numFmtId="0" fontId="16" fillId="15" borderId="17" xfId="0" applyFont="1" applyFill="1" applyBorder="1" applyAlignment="1">
      <alignment horizontal="left" vertical="top" wrapText="1"/>
    </xf>
    <xf numFmtId="0" fontId="1" fillId="5" borderId="24" xfId="0" applyFont="1" applyFill="1" applyBorder="1" applyAlignment="1">
      <alignment horizontal="left" vertical="center" wrapText="1"/>
    </xf>
    <xf numFmtId="164" fontId="1" fillId="5" borderId="24" xfId="0" applyNumberFormat="1" applyFont="1" applyFill="1" applyBorder="1" applyAlignment="1">
      <alignment horizontal="center" vertical="center" wrapText="1"/>
    </xf>
    <xf numFmtId="164" fontId="1" fillId="9" borderId="22" xfId="0" applyNumberFormat="1" applyFont="1" applyFill="1" applyBorder="1" applyAlignment="1">
      <alignment horizontal="center" vertical="center" wrapText="1"/>
    </xf>
    <xf numFmtId="0" fontId="0" fillId="9" borderId="22" xfId="0" applyFill="1" applyBorder="1"/>
    <xf numFmtId="0" fontId="23" fillId="16" borderId="22" xfId="0" applyFont="1" applyFill="1" applyBorder="1" applyAlignment="1">
      <alignment horizontal="center" vertical="center" wrapText="1"/>
    </xf>
    <xf numFmtId="164" fontId="0" fillId="0" borderId="22" xfId="0" applyNumberFormat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 wrapText="1"/>
    </xf>
    <xf numFmtId="0" fontId="24" fillId="7" borderId="22" xfId="0" applyFont="1" applyFill="1" applyBorder="1" applyAlignment="1">
      <alignment horizontal="center" vertical="center" wrapText="1"/>
    </xf>
    <xf numFmtId="0" fontId="1" fillId="9" borderId="22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164" fontId="3" fillId="0" borderId="1" xfId="0" applyNumberFormat="1" applyFont="1" applyBorder="1" applyAlignment="1">
      <alignment horizontal="center" vertical="center"/>
    </xf>
    <xf numFmtId="0" fontId="6" fillId="6" borderId="1" xfId="0" applyFont="1" applyFill="1" applyBorder="1" applyAlignment="1">
      <alignment horizontal="left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/>
    </xf>
    <xf numFmtId="164" fontId="1" fillId="7" borderId="1" xfId="0" applyNumberFormat="1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164" fontId="1" fillId="9" borderId="1" xfId="0" applyNumberFormat="1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left" vertical="center"/>
    </xf>
    <xf numFmtId="164" fontId="1" fillId="5" borderId="24" xfId="0" applyNumberFormat="1" applyFont="1" applyFill="1" applyBorder="1" applyAlignment="1">
      <alignment horizontal="center" vertical="center"/>
    </xf>
    <xf numFmtId="164" fontId="1" fillId="9" borderId="22" xfId="0" applyNumberFormat="1" applyFont="1" applyFill="1" applyBorder="1" applyAlignment="1">
      <alignment horizontal="center" vertical="center"/>
    </xf>
    <xf numFmtId="0" fontId="1" fillId="9" borderId="22" xfId="0" applyFont="1" applyFill="1" applyBorder="1" applyAlignment="1">
      <alignment horizontal="center" vertical="center"/>
    </xf>
    <xf numFmtId="47" fontId="1" fillId="9" borderId="22" xfId="0" applyNumberFormat="1" applyFont="1" applyFill="1" applyBorder="1" applyAlignment="1">
      <alignment horizontal="center" vertical="center"/>
    </xf>
    <xf numFmtId="164" fontId="1" fillId="9" borderId="22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164" fontId="1" fillId="5" borderId="22" xfId="0" applyNumberFormat="1" applyFont="1" applyFill="1" applyBorder="1" applyAlignment="1">
      <alignment horizontal="center" vertical="center"/>
    </xf>
    <xf numFmtId="0" fontId="25" fillId="0" borderId="22" xfId="0" applyFont="1" applyBorder="1" applyAlignment="1">
      <alignment horizontal="center" vertical="center" wrapText="1"/>
    </xf>
    <xf numFmtId="164" fontId="27" fillId="0" borderId="22" xfId="0" applyNumberFormat="1" applyFont="1" applyBorder="1" applyAlignment="1">
      <alignment horizontal="center" vertical="center"/>
    </xf>
    <xf numFmtId="0" fontId="1" fillId="8" borderId="22" xfId="0" applyFont="1" applyFill="1" applyBorder="1" applyAlignment="1">
      <alignment horizontal="center" vertical="center" wrapText="1"/>
    </xf>
    <xf numFmtId="164" fontId="0" fillId="17" borderId="22" xfId="0" applyNumberFormat="1" applyFill="1" applyBorder="1" applyAlignment="1">
      <alignment horizontal="center" vertical="center"/>
    </xf>
    <xf numFmtId="0" fontId="26" fillId="17" borderId="22" xfId="0" applyFont="1" applyFill="1" applyBorder="1" applyAlignment="1">
      <alignment horizontal="center" vertical="center"/>
    </xf>
    <xf numFmtId="164" fontId="23" fillId="8" borderId="22" xfId="0" applyNumberFormat="1" applyFont="1" applyFill="1" applyBorder="1" applyAlignment="1">
      <alignment horizontal="center" vertical="center"/>
    </xf>
    <xf numFmtId="164" fontId="23" fillId="7" borderId="22" xfId="0" applyNumberFormat="1" applyFont="1" applyFill="1" applyBorder="1" applyAlignment="1">
      <alignment horizontal="center" vertical="center"/>
    </xf>
    <xf numFmtId="164" fontId="23" fillId="9" borderId="22" xfId="0" applyNumberFormat="1" applyFont="1" applyFill="1" applyBorder="1" applyAlignment="1">
      <alignment horizontal="center" vertical="center"/>
    </xf>
    <xf numFmtId="0" fontId="1" fillId="6" borderId="22" xfId="0" applyFont="1" applyFill="1" applyBorder="1" applyAlignment="1">
      <alignment horizontal="center" vertical="center" wrapText="1"/>
    </xf>
    <xf numFmtId="164" fontId="23" fillId="6" borderId="22" xfId="0" applyNumberFormat="1" applyFont="1" applyFill="1" applyBorder="1" applyAlignment="1">
      <alignment horizontal="center" vertical="center"/>
    </xf>
    <xf numFmtId="0" fontId="1" fillId="18" borderId="22" xfId="0" applyFont="1" applyFill="1" applyBorder="1" applyAlignment="1">
      <alignment horizontal="center" vertical="center" wrapText="1"/>
    </xf>
    <xf numFmtId="164" fontId="23" fillId="18" borderId="22" xfId="0" applyNumberFormat="1" applyFont="1" applyFill="1" applyBorder="1" applyAlignment="1">
      <alignment horizontal="center" vertical="center"/>
    </xf>
    <xf numFmtId="164" fontId="0" fillId="18" borderId="22" xfId="0" applyNumberForma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0" fontId="29" fillId="2" borderId="17" xfId="0" applyFont="1" applyFill="1" applyBorder="1" applyAlignment="1">
      <alignment vertical="top"/>
    </xf>
    <xf numFmtId="0" fontId="29" fillId="2" borderId="18" xfId="0" applyFont="1" applyFill="1" applyBorder="1" applyAlignment="1">
      <alignment vertical="top"/>
    </xf>
    <xf numFmtId="14" fontId="29" fillId="2" borderId="18" xfId="0" applyNumberFormat="1" applyFont="1" applyFill="1" applyBorder="1" applyAlignment="1">
      <alignment horizontal="center" vertical="top"/>
    </xf>
    <xf numFmtId="14" fontId="17" fillId="15" borderId="19" xfId="0" applyNumberFormat="1" applyFont="1" applyFill="1" applyBorder="1" applyAlignment="1">
      <alignment horizontal="center" vertical="top"/>
    </xf>
    <xf numFmtId="0" fontId="17" fillId="15" borderId="19" xfId="0" applyFont="1" applyFill="1" applyBorder="1" applyAlignment="1">
      <alignment horizontal="center" vertical="top"/>
    </xf>
    <xf numFmtId="0" fontId="17" fillId="15" borderId="17" xfId="0" applyFont="1" applyFill="1" applyBorder="1" applyAlignment="1">
      <alignment horizontal="center" vertical="top"/>
    </xf>
    <xf numFmtId="0" fontId="0" fillId="2" borderId="23" xfId="0" applyFill="1" applyBorder="1" applyAlignment="1">
      <alignment horizontal="center" vertical="center"/>
    </xf>
    <xf numFmtId="164" fontId="1" fillId="8" borderId="22" xfId="0" applyNumberFormat="1" applyFont="1" applyFill="1" applyBorder="1" applyAlignment="1">
      <alignment horizontal="center" vertical="center"/>
    </xf>
    <xf numFmtId="164" fontId="1" fillId="6" borderId="22" xfId="0" applyNumberFormat="1" applyFont="1" applyFill="1" applyBorder="1" applyAlignment="1">
      <alignment horizontal="center" vertical="center"/>
    </xf>
    <xf numFmtId="164" fontId="1" fillId="7" borderId="22" xfId="0" applyNumberFormat="1" applyFont="1" applyFill="1" applyBorder="1" applyAlignment="1">
      <alignment horizontal="center" vertical="center"/>
    </xf>
    <xf numFmtId="0" fontId="1" fillId="3" borderId="22" xfId="0" applyFont="1" applyFill="1" applyBorder="1" applyAlignment="1">
      <alignment horizontal="left" vertical="center"/>
    </xf>
    <xf numFmtId="0" fontId="1" fillId="3" borderId="22" xfId="0" applyFont="1" applyFill="1" applyBorder="1" applyAlignment="1">
      <alignment horizontal="center" vertical="center" wrapText="1"/>
    </xf>
    <xf numFmtId="0" fontId="1" fillId="9" borderId="22" xfId="0" applyFont="1" applyFill="1" applyBorder="1" applyAlignment="1">
      <alignment horizontal="left" vertical="center"/>
    </xf>
    <xf numFmtId="0" fontId="2" fillId="9" borderId="22" xfId="0" applyFont="1" applyFill="1" applyBorder="1" applyAlignment="1">
      <alignment horizontal="center" vertical="center" wrapText="1"/>
    </xf>
    <xf numFmtId="0" fontId="1" fillId="0" borderId="22" xfId="0" applyFont="1" applyBorder="1" applyAlignment="1">
      <alignment horizontal="left" vertical="center"/>
    </xf>
    <xf numFmtId="0" fontId="5" fillId="2" borderId="22" xfId="0" applyFont="1" applyFill="1" applyBorder="1" applyAlignment="1">
      <alignment horizontal="left" vertical="center"/>
    </xf>
    <xf numFmtId="164" fontId="3" fillId="0" borderId="22" xfId="0" applyNumberFormat="1" applyFont="1" applyBorder="1" applyAlignment="1">
      <alignment horizontal="center" vertical="center"/>
    </xf>
    <xf numFmtId="0" fontId="6" fillId="6" borderId="22" xfId="0" applyFont="1" applyFill="1" applyBorder="1" applyAlignment="1">
      <alignment horizontal="left" vertical="center"/>
    </xf>
    <xf numFmtId="164" fontId="3" fillId="2" borderId="22" xfId="0" applyNumberFormat="1" applyFont="1" applyFill="1" applyBorder="1" applyAlignment="1">
      <alignment horizontal="center" vertical="center"/>
    </xf>
    <xf numFmtId="0" fontId="6" fillId="7" borderId="22" xfId="0" applyFont="1" applyFill="1" applyBorder="1" applyAlignment="1">
      <alignment horizontal="left" vertical="center"/>
    </xf>
    <xf numFmtId="0" fontId="6" fillId="8" borderId="22" xfId="0" applyFont="1" applyFill="1" applyBorder="1" applyAlignment="1">
      <alignment horizontal="left" vertical="center"/>
    </xf>
    <xf numFmtId="0" fontId="1" fillId="5" borderId="22" xfId="0" applyFont="1" applyFill="1" applyBorder="1" applyAlignment="1">
      <alignment horizontal="left" vertical="center"/>
    </xf>
    <xf numFmtId="0" fontId="0" fillId="20" borderId="0" xfId="0" applyFill="1"/>
    <xf numFmtId="0" fontId="23" fillId="16" borderId="26" xfId="0" applyFont="1" applyFill="1" applyBorder="1" applyAlignment="1">
      <alignment horizontal="center" vertical="center" wrapText="1"/>
    </xf>
    <xf numFmtId="0" fontId="23" fillId="16" borderId="27" xfId="0" applyFont="1" applyFill="1" applyBorder="1" applyAlignment="1">
      <alignment horizontal="center" vertical="center" wrapText="1"/>
    </xf>
    <xf numFmtId="0" fontId="23" fillId="16" borderId="28" xfId="0" applyFont="1" applyFill="1" applyBorder="1" applyAlignment="1">
      <alignment horizontal="center" vertical="center" wrapText="1"/>
    </xf>
    <xf numFmtId="164" fontId="0" fillId="6" borderId="22" xfId="0" applyNumberFormat="1" applyFill="1" applyBorder="1" applyAlignment="1">
      <alignment horizontal="center" vertical="center"/>
    </xf>
    <xf numFmtId="164" fontId="0" fillId="7" borderId="22" xfId="0" applyNumberFormat="1" applyFill="1" applyBorder="1" applyAlignment="1">
      <alignment horizontal="center" vertical="center"/>
    </xf>
    <xf numFmtId="14" fontId="0" fillId="2" borderId="22" xfId="0" applyNumberFormat="1" applyFill="1" applyBorder="1" applyAlignment="1">
      <alignment horizontal="center"/>
    </xf>
    <xf numFmtId="0" fontId="0" fillId="0" borderId="22" xfId="0" applyBorder="1" applyAlignment="1">
      <alignment vertical="center"/>
    </xf>
    <xf numFmtId="0" fontId="17" fillId="15" borderId="18" xfId="0" applyFont="1" applyFill="1" applyBorder="1" applyAlignment="1">
      <alignment horizontal="center" vertical="top"/>
    </xf>
    <xf numFmtId="164" fontId="32" fillId="5" borderId="22" xfId="0" applyNumberFormat="1" applyFont="1" applyFill="1" applyBorder="1" applyAlignment="1">
      <alignment horizontal="center" vertical="center"/>
    </xf>
    <xf numFmtId="164" fontId="32" fillId="6" borderId="22" xfId="0" applyNumberFormat="1" applyFont="1" applyFill="1" applyBorder="1" applyAlignment="1">
      <alignment horizontal="center" vertical="center"/>
    </xf>
    <xf numFmtId="164" fontId="32" fillId="7" borderId="22" xfId="0" applyNumberFormat="1" applyFont="1" applyFill="1" applyBorder="1" applyAlignment="1">
      <alignment horizontal="center" vertical="center"/>
    </xf>
    <xf numFmtId="164" fontId="32" fillId="8" borderId="22" xfId="0" applyNumberFormat="1" applyFont="1" applyFill="1" applyBorder="1" applyAlignment="1">
      <alignment horizontal="center" vertical="center"/>
    </xf>
    <xf numFmtId="164" fontId="32" fillId="9" borderId="22" xfId="0" applyNumberFormat="1" applyFont="1" applyFill="1" applyBorder="1" applyAlignment="1">
      <alignment horizontal="center" vertical="center" wrapText="1"/>
    </xf>
    <xf numFmtId="0" fontId="0" fillId="2" borderId="34" xfId="0" applyFill="1" applyBorder="1" applyAlignment="1">
      <alignment horizontal="center" vertical="center"/>
    </xf>
    <xf numFmtId="0" fontId="20" fillId="2" borderId="18" xfId="0" applyFont="1" applyFill="1" applyBorder="1" applyAlignment="1">
      <alignment vertical="top"/>
    </xf>
    <xf numFmtId="14" fontId="20" fillId="2" borderId="18" xfId="0" applyNumberFormat="1" applyFont="1" applyFill="1" applyBorder="1" applyAlignment="1">
      <alignment horizontal="center" vertical="top"/>
    </xf>
    <xf numFmtId="0" fontId="18" fillId="2" borderId="18" xfId="0" applyFont="1" applyFill="1" applyBorder="1" applyAlignment="1">
      <alignment horizontal="center" vertical="top"/>
    </xf>
    <xf numFmtId="0" fontId="33" fillId="2" borderId="18" xfId="0" applyFont="1" applyFill="1" applyBorder="1" applyAlignment="1">
      <alignment horizontal="center" vertical="top"/>
    </xf>
    <xf numFmtId="0" fontId="29" fillId="2" borderId="18" xfId="0" applyFont="1" applyFill="1" applyBorder="1" applyAlignment="1">
      <alignment vertical="top" wrapText="1"/>
    </xf>
    <xf numFmtId="0" fontId="0" fillId="2" borderId="35" xfId="0" applyFill="1" applyBorder="1" applyAlignment="1">
      <alignment horizontal="center" vertical="center"/>
    </xf>
    <xf numFmtId="2" fontId="1" fillId="19" borderId="36" xfId="0" applyNumberFormat="1" applyFont="1" applyFill="1" applyBorder="1" applyAlignment="1">
      <alignment horizontal="center" vertical="center"/>
    </xf>
    <xf numFmtId="164" fontId="32" fillId="5" borderId="38" xfId="0" applyNumberFormat="1" applyFont="1" applyFill="1" applyBorder="1" applyAlignment="1">
      <alignment horizontal="center" vertical="center"/>
    </xf>
    <xf numFmtId="164" fontId="32" fillId="6" borderId="38" xfId="0" applyNumberFormat="1" applyFont="1" applyFill="1" applyBorder="1" applyAlignment="1">
      <alignment horizontal="center" vertical="center"/>
    </xf>
    <xf numFmtId="164" fontId="32" fillId="7" borderId="38" xfId="0" applyNumberFormat="1" applyFont="1" applyFill="1" applyBorder="1" applyAlignment="1">
      <alignment horizontal="center" vertical="center"/>
    </xf>
    <xf numFmtId="164" fontId="32" fillId="8" borderId="38" xfId="0" applyNumberFormat="1" applyFont="1" applyFill="1" applyBorder="1" applyAlignment="1">
      <alignment horizontal="center" vertical="center"/>
    </xf>
    <xf numFmtId="164" fontId="32" fillId="9" borderId="38" xfId="0" applyNumberFormat="1" applyFont="1" applyFill="1" applyBorder="1" applyAlignment="1">
      <alignment horizontal="center" vertical="center" wrapText="1"/>
    </xf>
    <xf numFmtId="2" fontId="1" fillId="19" borderId="39" xfId="0" applyNumberFormat="1" applyFont="1" applyFill="1" applyBorder="1" applyAlignment="1">
      <alignment horizontal="center" vertical="center"/>
    </xf>
    <xf numFmtId="164" fontId="32" fillId="5" borderId="22" xfId="0" applyNumberFormat="1" applyFont="1" applyFill="1" applyBorder="1" applyAlignment="1">
      <alignment horizontal="center" vertical="center" wrapText="1"/>
    </xf>
    <xf numFmtId="164" fontId="32" fillId="6" borderId="22" xfId="0" applyNumberFormat="1" applyFont="1" applyFill="1" applyBorder="1" applyAlignment="1">
      <alignment horizontal="center" vertical="center" wrapText="1"/>
    </xf>
    <xf numFmtId="164" fontId="32" fillId="7" borderId="22" xfId="0" applyNumberFormat="1" applyFont="1" applyFill="1" applyBorder="1" applyAlignment="1">
      <alignment horizontal="center" vertical="center" wrapText="1"/>
    </xf>
    <xf numFmtId="164" fontId="32" fillId="8" borderId="22" xfId="0" applyNumberFormat="1" applyFont="1" applyFill="1" applyBorder="1" applyAlignment="1">
      <alignment horizontal="center" vertical="center" wrapText="1"/>
    </xf>
    <xf numFmtId="0" fontId="0" fillId="2" borderId="22" xfId="0" applyFill="1" applyBorder="1" applyAlignment="1">
      <alignment horizontal="center" vertical="top"/>
    </xf>
    <xf numFmtId="164" fontId="0" fillId="8" borderId="22" xfId="0" applyNumberFormat="1" applyFill="1" applyBorder="1" applyAlignment="1">
      <alignment horizontal="center" vertical="center"/>
    </xf>
    <xf numFmtId="2" fontId="32" fillId="19" borderId="36" xfId="0" applyNumberFormat="1" applyFont="1" applyFill="1" applyBorder="1" applyAlignment="1">
      <alignment horizontal="center" vertical="center" wrapText="1"/>
    </xf>
    <xf numFmtId="2" fontId="0" fillId="19" borderId="36" xfId="0" applyNumberFormat="1" applyFill="1" applyBorder="1" applyAlignment="1">
      <alignment horizontal="center"/>
    </xf>
    <xf numFmtId="2" fontId="32" fillId="19" borderId="36" xfId="0" applyNumberFormat="1" applyFont="1" applyFill="1" applyBorder="1" applyAlignment="1">
      <alignment horizontal="center" vertical="center"/>
    </xf>
    <xf numFmtId="2" fontId="30" fillId="19" borderId="36" xfId="0" applyNumberFormat="1" applyFont="1" applyFill="1" applyBorder="1" applyAlignment="1">
      <alignment horizontal="center" vertical="center"/>
    </xf>
    <xf numFmtId="2" fontId="31" fillId="19" borderId="36" xfId="0" applyNumberFormat="1" applyFont="1" applyFill="1" applyBorder="1" applyAlignment="1">
      <alignment horizontal="center" vertical="center"/>
    </xf>
    <xf numFmtId="14" fontId="0" fillId="2" borderId="23" xfId="0" applyNumberFormat="1" applyFill="1" applyBorder="1" applyAlignment="1">
      <alignment horizontal="center"/>
    </xf>
    <xf numFmtId="0" fontId="0" fillId="0" borderId="23" xfId="0" applyBorder="1"/>
    <xf numFmtId="164" fontId="32" fillId="5" borderId="23" xfId="0" applyNumberFormat="1" applyFont="1" applyFill="1" applyBorder="1" applyAlignment="1">
      <alignment horizontal="center" vertical="center" wrapText="1"/>
    </xf>
    <xf numFmtId="164" fontId="32" fillId="6" borderId="23" xfId="0" applyNumberFormat="1" applyFont="1" applyFill="1" applyBorder="1" applyAlignment="1">
      <alignment horizontal="center" vertical="center" wrapText="1"/>
    </xf>
    <xf numFmtId="164" fontId="32" fillId="7" borderId="23" xfId="0" applyNumberFormat="1" applyFont="1" applyFill="1" applyBorder="1" applyAlignment="1">
      <alignment horizontal="center" vertical="center" wrapText="1"/>
    </xf>
    <xf numFmtId="164" fontId="32" fillId="8" borderId="23" xfId="0" applyNumberFormat="1" applyFont="1" applyFill="1" applyBorder="1" applyAlignment="1">
      <alignment horizontal="center" vertical="center" wrapText="1"/>
    </xf>
    <xf numFmtId="164" fontId="32" fillId="9" borderId="23" xfId="0" applyNumberFormat="1" applyFont="1" applyFill="1" applyBorder="1" applyAlignment="1">
      <alignment horizontal="center" vertical="center" wrapText="1"/>
    </xf>
    <xf numFmtId="2" fontId="32" fillId="19" borderId="40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5" borderId="22" xfId="0" applyFont="1" applyFill="1" applyBorder="1" applyAlignment="1">
      <alignment horizontal="left" vertical="center" wrapText="1"/>
    </xf>
    <xf numFmtId="164" fontId="1" fillId="7" borderId="43" xfId="0" applyNumberFormat="1" applyFont="1" applyFill="1" applyBorder="1" applyAlignment="1">
      <alignment horizontal="center" vertical="center"/>
    </xf>
    <xf numFmtId="164" fontId="3" fillId="0" borderId="43" xfId="0" applyNumberFormat="1" applyFont="1" applyBorder="1" applyAlignment="1">
      <alignment horizontal="center" vertical="center"/>
    </xf>
    <xf numFmtId="164" fontId="1" fillId="8" borderId="43" xfId="0" applyNumberFormat="1" applyFont="1" applyFill="1" applyBorder="1" applyAlignment="1">
      <alignment horizontal="center" vertical="center"/>
    </xf>
    <xf numFmtId="164" fontId="1" fillId="9" borderId="43" xfId="0" applyNumberFormat="1" applyFont="1" applyFill="1" applyBorder="1" applyAlignment="1">
      <alignment horizontal="center" vertical="center"/>
    </xf>
    <xf numFmtId="164" fontId="1" fillId="5" borderId="43" xfId="0" applyNumberFormat="1" applyFont="1" applyFill="1" applyBorder="1" applyAlignment="1">
      <alignment horizontal="center" vertical="center"/>
    </xf>
    <xf numFmtId="0" fontId="5" fillId="2" borderId="44" xfId="0" applyFont="1" applyFill="1" applyBorder="1" applyAlignment="1">
      <alignment horizontal="left" vertical="center"/>
    </xf>
    <xf numFmtId="0" fontId="1" fillId="9" borderId="23" xfId="0" applyFont="1" applyFill="1" applyBorder="1" applyAlignment="1">
      <alignment horizontal="left" vertical="center"/>
    </xf>
    <xf numFmtId="0" fontId="34" fillId="3" borderId="22" xfId="0" applyFont="1" applyFill="1" applyBorder="1" applyAlignment="1">
      <alignment horizontal="left" vertical="center"/>
    </xf>
    <xf numFmtId="164" fontId="34" fillId="3" borderId="22" xfId="0" applyNumberFormat="1" applyFont="1" applyFill="1" applyBorder="1" applyAlignment="1">
      <alignment horizontal="center" vertical="center" wrapText="1"/>
    </xf>
    <xf numFmtId="164" fontId="2" fillId="9" borderId="22" xfId="0" applyNumberFormat="1" applyFont="1" applyFill="1" applyBorder="1" applyAlignment="1">
      <alignment horizontal="center" vertical="center" wrapText="1"/>
    </xf>
    <xf numFmtId="164" fontId="17" fillId="0" borderId="0" xfId="0" applyNumberFormat="1" applyFont="1"/>
    <xf numFmtId="0" fontId="35" fillId="22" borderId="42" xfId="0" applyFont="1" applyFill="1" applyBorder="1"/>
    <xf numFmtId="0" fontId="37" fillId="23" borderId="41" xfId="0" applyFont="1" applyFill="1" applyBorder="1" applyAlignment="1">
      <alignment wrapText="1"/>
    </xf>
    <xf numFmtId="164" fontId="38" fillId="2" borderId="44" xfId="0" applyNumberFormat="1" applyFont="1" applyFill="1" applyBorder="1" applyAlignment="1">
      <alignment horizontal="left" vertical="center"/>
    </xf>
    <xf numFmtId="164" fontId="39" fillId="6" borderId="44" xfId="0" applyNumberFormat="1" applyFont="1" applyFill="1" applyBorder="1" applyAlignment="1">
      <alignment horizontal="left" vertical="center"/>
    </xf>
    <xf numFmtId="164" fontId="39" fillId="8" borderId="44" xfId="0" applyNumberFormat="1" applyFont="1" applyFill="1" applyBorder="1" applyAlignment="1">
      <alignment horizontal="left" vertical="center"/>
    </xf>
    <xf numFmtId="164" fontId="37" fillId="21" borderId="44" xfId="0" applyNumberFormat="1" applyFont="1" applyFill="1" applyBorder="1"/>
    <xf numFmtId="164" fontId="37" fillId="21" borderId="44" xfId="0" applyNumberFormat="1" applyFont="1" applyFill="1" applyBorder="1" applyAlignment="1">
      <alignment vertical="center"/>
    </xf>
    <xf numFmtId="164" fontId="36" fillId="0" borderId="22" xfId="0" applyNumberFormat="1" applyFont="1" applyBorder="1" applyAlignment="1">
      <alignment horizontal="center"/>
    </xf>
    <xf numFmtId="0" fontId="40" fillId="3" borderId="22" xfId="0" applyFont="1" applyFill="1" applyBorder="1" applyAlignment="1">
      <alignment horizontal="left" vertical="center"/>
    </xf>
    <xf numFmtId="164" fontId="41" fillId="2" borderId="0" xfId="0" applyNumberFormat="1" applyFont="1" applyFill="1" applyAlignment="1">
      <alignment horizontal="left" vertical="center" wrapText="1"/>
    </xf>
    <xf numFmtId="164" fontId="41" fillId="2" borderId="0" xfId="0" applyNumberFormat="1" applyFont="1" applyFill="1" applyAlignment="1">
      <alignment horizontal="left" vertical="center"/>
    </xf>
    <xf numFmtId="0" fontId="36" fillId="0" borderId="0" xfId="0" applyFont="1"/>
    <xf numFmtId="0" fontId="40" fillId="9" borderId="22" xfId="0" applyFont="1" applyFill="1" applyBorder="1" applyAlignment="1">
      <alignment horizontal="left" vertical="center"/>
    </xf>
    <xf numFmtId="0" fontId="35" fillId="6" borderId="22" xfId="0" applyFont="1" applyFill="1" applyBorder="1" applyAlignment="1">
      <alignment horizontal="left" wrapText="1"/>
    </xf>
    <xf numFmtId="0" fontId="35" fillId="7" borderId="22" xfId="0" applyFont="1" applyFill="1" applyBorder="1" applyAlignment="1">
      <alignment horizontal="left"/>
    </xf>
    <xf numFmtId="0" fontId="35" fillId="6" borderId="22" xfId="0" applyFont="1" applyFill="1" applyBorder="1" applyAlignment="1">
      <alignment horizontal="left"/>
    </xf>
    <xf numFmtId="0" fontId="35" fillId="2" borderId="0" xfId="0" applyFont="1" applyFill="1" applyAlignment="1">
      <alignment horizontal="left" vertical="center"/>
    </xf>
    <xf numFmtId="0" fontId="36" fillId="0" borderId="0" xfId="0" applyFont="1" applyAlignment="1">
      <alignment horizontal="left" vertical="center"/>
    </xf>
    <xf numFmtId="0" fontId="40" fillId="0" borderId="22" xfId="0" applyFont="1" applyBorder="1" applyAlignment="1">
      <alignment horizontal="left" vertical="center"/>
    </xf>
    <xf numFmtId="164" fontId="41" fillId="24" borderId="22" xfId="0" applyNumberFormat="1" applyFont="1" applyFill="1" applyBorder="1" applyAlignment="1">
      <alignment horizontal="center" vertical="center" wrapText="1"/>
    </xf>
    <xf numFmtId="164" fontId="41" fillId="24" borderId="22" xfId="0" applyNumberFormat="1" applyFont="1" applyFill="1" applyBorder="1" applyAlignment="1">
      <alignment horizontal="left" vertical="center"/>
    </xf>
    <xf numFmtId="164" fontId="41" fillId="24" borderId="22" xfId="0" applyNumberFormat="1" applyFont="1" applyFill="1" applyBorder="1" applyAlignment="1">
      <alignment horizontal="left" vertical="center" wrapText="1"/>
    </xf>
    <xf numFmtId="0" fontId="36" fillId="2" borderId="0" xfId="0" applyFont="1" applyFill="1" applyAlignment="1">
      <alignment horizontal="left" vertical="center"/>
    </xf>
    <xf numFmtId="164" fontId="35" fillId="0" borderId="1" xfId="0" applyNumberFormat="1" applyFont="1" applyBorder="1" applyAlignment="1">
      <alignment horizontal="center"/>
    </xf>
    <xf numFmtId="164" fontId="35" fillId="2" borderId="22" xfId="0" applyNumberFormat="1" applyFont="1" applyFill="1" applyBorder="1" applyAlignment="1">
      <alignment horizontal="center" vertical="center"/>
    </xf>
    <xf numFmtId="164" fontId="35" fillId="2" borderId="22" xfId="0" applyNumberFormat="1" applyFont="1" applyFill="1" applyBorder="1" applyAlignment="1">
      <alignment horizontal="center" vertical="center" wrapText="1"/>
    </xf>
    <xf numFmtId="0" fontId="42" fillId="6" borderId="22" xfId="0" applyFont="1" applyFill="1" applyBorder="1" applyAlignment="1">
      <alignment horizontal="left" vertical="center"/>
    </xf>
    <xf numFmtId="164" fontId="36" fillId="0" borderId="1" xfId="0" applyNumberFormat="1" applyFont="1" applyBorder="1" applyAlignment="1">
      <alignment horizontal="center" vertical="center"/>
    </xf>
    <xf numFmtId="0" fontId="42" fillId="7" borderId="22" xfId="0" applyFont="1" applyFill="1" applyBorder="1" applyAlignment="1">
      <alignment horizontal="left" vertical="center"/>
    </xf>
    <xf numFmtId="0" fontId="42" fillId="8" borderId="22" xfId="0" applyFont="1" applyFill="1" applyBorder="1" applyAlignment="1">
      <alignment horizontal="left" vertical="center"/>
    </xf>
    <xf numFmtId="164" fontId="35" fillId="2" borderId="44" xfId="0" applyNumberFormat="1" applyFont="1" applyFill="1" applyBorder="1" applyAlignment="1">
      <alignment horizontal="center" vertical="center" wrapText="1"/>
    </xf>
    <xf numFmtId="164" fontId="35" fillId="2" borderId="44" xfId="0" applyNumberFormat="1" applyFont="1" applyFill="1" applyBorder="1" applyAlignment="1">
      <alignment horizontal="center" vertical="center"/>
    </xf>
    <xf numFmtId="0" fontId="40" fillId="5" borderId="48" xfId="0" applyFont="1" applyFill="1" applyBorder="1" applyAlignment="1">
      <alignment horizontal="left" vertical="center" wrapText="1"/>
    </xf>
    <xf numFmtId="0" fontId="40" fillId="9" borderId="49" xfId="0" applyFont="1" applyFill="1" applyBorder="1" applyAlignment="1">
      <alignment horizontal="left" vertic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3" borderId="22" xfId="0" applyFont="1" applyFill="1" applyBorder="1" applyAlignment="1">
      <alignment horizontal="center" vertical="center"/>
    </xf>
    <xf numFmtId="0" fontId="41" fillId="0" borderId="1" xfId="0" applyFont="1" applyBorder="1"/>
    <xf numFmtId="0" fontId="43" fillId="0" borderId="1" xfId="0" applyFont="1" applyBorder="1"/>
    <xf numFmtId="0" fontId="41" fillId="0" borderId="1" xfId="0" applyFont="1" applyBorder="1" applyAlignment="1">
      <alignment wrapText="1"/>
    </xf>
    <xf numFmtId="0" fontId="41" fillId="0" borderId="47" xfId="0" applyFont="1" applyBorder="1" applyAlignment="1">
      <alignment horizontal="center" wrapText="1"/>
    </xf>
    <xf numFmtId="0" fontId="41" fillId="0" borderId="22" xfId="0" applyFont="1" applyBorder="1" applyAlignment="1">
      <alignment horizontal="left"/>
    </xf>
    <xf numFmtId="0" fontId="36" fillId="0" borderId="22" xfId="0" applyFont="1" applyBorder="1"/>
    <xf numFmtId="0" fontId="35" fillId="0" borderId="45" xfId="0" applyFont="1" applyBorder="1" applyAlignment="1">
      <alignment wrapText="1"/>
    </xf>
    <xf numFmtId="0" fontId="35" fillId="0" borderId="46" xfId="0" applyFont="1" applyBorder="1" applyAlignment="1">
      <alignment horizontal="center" wrapText="1"/>
    </xf>
    <xf numFmtId="0" fontId="35" fillId="2" borderId="22" xfId="0" applyFont="1" applyFill="1" applyBorder="1"/>
    <xf numFmtId="0" fontId="35" fillId="0" borderId="22" xfId="0" applyFont="1" applyBorder="1" applyAlignment="1">
      <alignment horizontal="left"/>
    </xf>
    <xf numFmtId="0" fontId="36" fillId="2" borderId="22" xfId="0" applyFont="1" applyFill="1" applyBorder="1"/>
    <xf numFmtId="0" fontId="41" fillId="0" borderId="22" xfId="0" applyFont="1" applyBorder="1" applyAlignment="1">
      <alignment wrapText="1"/>
    </xf>
    <xf numFmtId="0" fontId="41" fillId="0" borderId="48" xfId="0" applyFont="1" applyBorder="1" applyAlignment="1">
      <alignment horizontal="center" wrapText="1"/>
    </xf>
    <xf numFmtId="0" fontId="35" fillId="6" borderId="23" xfId="0" applyFont="1" applyFill="1" applyBorder="1" applyAlignment="1">
      <alignment horizontal="left"/>
    </xf>
    <xf numFmtId="0" fontId="35" fillId="6" borderId="44" xfId="0" applyFont="1" applyFill="1" applyBorder="1" applyAlignment="1">
      <alignment horizontal="left"/>
    </xf>
    <xf numFmtId="0" fontId="35" fillId="0" borderId="46" xfId="0" applyFont="1" applyBorder="1" applyAlignment="1">
      <alignment horizontal="left" wrapText="1"/>
    </xf>
    <xf numFmtId="0" fontId="40" fillId="5" borderId="50" xfId="0" applyFont="1" applyFill="1" applyBorder="1" applyAlignment="1">
      <alignment horizontal="left" vertical="center" wrapText="1"/>
    </xf>
    <xf numFmtId="164" fontId="44" fillId="2" borderId="22" xfId="0" applyNumberFormat="1" applyFont="1" applyFill="1" applyBorder="1" applyAlignment="1">
      <alignment horizontal="center" vertical="center" wrapText="1"/>
    </xf>
    <xf numFmtId="164" fontId="45" fillId="2" borderId="22" xfId="0" applyNumberFormat="1" applyFont="1" applyFill="1" applyBorder="1" applyAlignment="1">
      <alignment horizontal="center" vertical="center" wrapText="1"/>
    </xf>
    <xf numFmtId="164" fontId="46" fillId="2" borderId="22" xfId="0" applyNumberFormat="1" applyFont="1" applyFill="1" applyBorder="1" applyAlignment="1">
      <alignment horizontal="center" vertical="center" wrapText="1"/>
    </xf>
    <xf numFmtId="164" fontId="45" fillId="2" borderId="44" xfId="0" applyNumberFormat="1" applyFont="1" applyFill="1" applyBorder="1" applyAlignment="1">
      <alignment horizontal="center" vertical="center" wrapText="1"/>
    </xf>
    <xf numFmtId="164" fontId="44" fillId="2" borderId="44" xfId="0" applyNumberFormat="1" applyFont="1" applyFill="1" applyBorder="1" applyAlignment="1">
      <alignment horizontal="center" vertical="center" wrapText="1"/>
    </xf>
    <xf numFmtId="164" fontId="45" fillId="7" borderId="22" xfId="0" applyNumberFormat="1" applyFont="1" applyFill="1" applyBorder="1" applyAlignment="1">
      <alignment horizontal="center" vertical="center" wrapText="1"/>
    </xf>
    <xf numFmtId="164" fontId="44" fillId="9" borderId="22" xfId="0" applyNumberFormat="1" applyFont="1" applyFill="1" applyBorder="1" applyAlignment="1">
      <alignment horizontal="center" vertical="center"/>
    </xf>
    <xf numFmtId="164" fontId="1" fillId="6" borderId="44" xfId="0" applyNumberFormat="1" applyFont="1" applyFill="1" applyBorder="1" applyAlignment="1">
      <alignment horizontal="center" vertical="center"/>
    </xf>
    <xf numFmtId="164" fontId="1" fillId="7" borderId="44" xfId="0" applyNumberFormat="1" applyFont="1" applyFill="1" applyBorder="1" applyAlignment="1">
      <alignment horizontal="center" vertical="center"/>
    </xf>
    <xf numFmtId="164" fontId="1" fillId="8" borderId="44" xfId="0" applyNumberFormat="1" applyFont="1" applyFill="1" applyBorder="1" applyAlignment="1">
      <alignment horizontal="center" vertical="center"/>
    </xf>
    <xf numFmtId="164" fontId="32" fillId="9" borderId="44" xfId="0" applyNumberFormat="1" applyFont="1" applyFill="1" applyBorder="1" applyAlignment="1">
      <alignment horizontal="center" vertical="center" wrapText="1"/>
    </xf>
    <xf numFmtId="164" fontId="47" fillId="2" borderId="22" xfId="0" applyNumberFormat="1" applyFont="1" applyFill="1" applyBorder="1" applyAlignment="1">
      <alignment horizontal="center" vertical="center"/>
    </xf>
    <xf numFmtId="164" fontId="47" fillId="2" borderId="22" xfId="0" applyNumberFormat="1" applyFont="1" applyFill="1" applyBorder="1" applyAlignment="1">
      <alignment horizontal="center" vertical="center" wrapText="1"/>
    </xf>
    <xf numFmtId="164" fontId="47" fillId="2" borderId="48" xfId="0" applyNumberFormat="1" applyFont="1" applyFill="1" applyBorder="1" applyAlignment="1">
      <alignment horizontal="center" vertical="center" wrapText="1"/>
    </xf>
    <xf numFmtId="164" fontId="47" fillId="2" borderId="48" xfId="0" applyNumberFormat="1" applyFont="1" applyFill="1" applyBorder="1" applyAlignment="1">
      <alignment horizontal="center" vertical="center"/>
    </xf>
    <xf numFmtId="164" fontId="47" fillId="2" borderId="52" xfId="0" applyNumberFormat="1" applyFont="1" applyFill="1" applyBorder="1" applyAlignment="1">
      <alignment horizontal="center" vertical="center" wrapText="1"/>
    </xf>
    <xf numFmtId="164" fontId="47" fillId="2" borderId="53" xfId="0" applyNumberFormat="1" applyFont="1" applyFill="1" applyBorder="1" applyAlignment="1">
      <alignment horizontal="center" vertical="center" wrapText="1"/>
    </xf>
    <xf numFmtId="164" fontId="48" fillId="7" borderId="54" xfId="0" applyNumberFormat="1" applyFont="1" applyFill="1" applyBorder="1" applyAlignment="1">
      <alignment horizontal="center" vertical="center" wrapText="1"/>
    </xf>
    <xf numFmtId="164" fontId="47" fillId="2" borderId="36" xfId="0" applyNumberFormat="1" applyFont="1" applyFill="1" applyBorder="1" applyAlignment="1">
      <alignment horizontal="center" vertical="center" wrapText="1"/>
    </xf>
    <xf numFmtId="164" fontId="49" fillId="9" borderId="36" xfId="0" applyNumberFormat="1" applyFont="1" applyFill="1" applyBorder="1" applyAlignment="1">
      <alignment horizontal="center" vertical="center"/>
    </xf>
    <xf numFmtId="164" fontId="47" fillId="2" borderId="38" xfId="0" applyNumberFormat="1" applyFont="1" applyFill="1" applyBorder="1" applyAlignment="1">
      <alignment horizontal="center" vertical="center"/>
    </xf>
    <xf numFmtId="164" fontId="47" fillId="2" borderId="55" xfId="0" applyNumberFormat="1" applyFont="1" applyFill="1" applyBorder="1" applyAlignment="1">
      <alignment horizontal="center" vertical="center"/>
    </xf>
    <xf numFmtId="164" fontId="32" fillId="9" borderId="53" xfId="0" applyNumberFormat="1" applyFont="1" applyFill="1" applyBorder="1" applyAlignment="1">
      <alignment horizontal="center" vertical="center" wrapText="1"/>
    </xf>
    <xf numFmtId="164" fontId="32" fillId="9" borderId="48" xfId="0" applyNumberFormat="1" applyFont="1" applyFill="1" applyBorder="1" applyAlignment="1">
      <alignment horizontal="center" vertical="center" wrapText="1"/>
    </xf>
    <xf numFmtId="164" fontId="48" fillId="7" borderId="28" xfId="0" applyNumberFormat="1" applyFont="1" applyFill="1" applyBorder="1" applyAlignment="1">
      <alignment horizontal="center" vertical="center" wrapText="1"/>
    </xf>
    <xf numFmtId="164" fontId="47" fillId="2" borderId="35" xfId="0" applyNumberFormat="1" applyFont="1" applyFill="1" applyBorder="1" applyAlignment="1">
      <alignment horizontal="center" vertical="center"/>
    </xf>
    <xf numFmtId="164" fontId="47" fillId="2" borderId="35" xfId="0" applyNumberFormat="1" applyFont="1" applyFill="1" applyBorder="1" applyAlignment="1">
      <alignment horizontal="center" vertical="center" wrapText="1"/>
    </xf>
    <xf numFmtId="164" fontId="49" fillId="9" borderId="35" xfId="0" applyNumberFormat="1" applyFont="1" applyFill="1" applyBorder="1" applyAlignment="1">
      <alignment horizontal="center" vertical="center"/>
    </xf>
    <xf numFmtId="164" fontId="47" fillId="2" borderId="37" xfId="0" applyNumberFormat="1" applyFont="1" applyFill="1" applyBorder="1" applyAlignment="1">
      <alignment horizontal="center" vertical="center"/>
    </xf>
    <xf numFmtId="164" fontId="47" fillId="2" borderId="33" xfId="0" applyNumberFormat="1" applyFont="1" applyFill="1" applyBorder="1" applyAlignment="1">
      <alignment horizontal="center" vertical="center" wrapText="1"/>
    </xf>
    <xf numFmtId="164" fontId="50" fillId="7" borderId="51" xfId="0" applyNumberFormat="1" applyFont="1" applyFill="1" applyBorder="1" applyAlignment="1">
      <alignment horizontal="center" vertical="center" wrapText="1"/>
    </xf>
    <xf numFmtId="164" fontId="37" fillId="23" borderId="44" xfId="0" applyNumberFormat="1" applyFont="1" applyFill="1" applyBorder="1" applyAlignment="1">
      <alignment horizontal="left" vertical="center"/>
    </xf>
    <xf numFmtId="164" fontId="35" fillId="0" borderId="22" xfId="0" applyNumberFormat="1" applyFont="1" applyBorder="1" applyAlignment="1">
      <alignment horizontal="center"/>
    </xf>
    <xf numFmtId="164" fontId="51" fillId="5" borderId="22" xfId="0" applyNumberFormat="1" applyFont="1" applyFill="1" applyBorder="1" applyAlignment="1">
      <alignment horizontal="center" vertical="center"/>
    </xf>
    <xf numFmtId="164" fontId="32" fillId="19" borderId="22" xfId="0" applyNumberFormat="1" applyFont="1" applyFill="1" applyBorder="1" applyAlignment="1">
      <alignment horizontal="center" vertical="center"/>
    </xf>
    <xf numFmtId="164" fontId="32" fillId="19" borderId="22" xfId="0" applyNumberFormat="1" applyFont="1" applyFill="1" applyBorder="1" applyAlignment="1">
      <alignment horizontal="center" vertical="center" wrapText="1"/>
    </xf>
    <xf numFmtId="164" fontId="51" fillId="19" borderId="22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47" fillId="23" borderId="35" xfId="0" applyNumberFormat="1" applyFont="1" applyFill="1" applyBorder="1" applyAlignment="1">
      <alignment horizontal="center" vertical="center" wrapText="1"/>
    </xf>
    <xf numFmtId="164" fontId="47" fillId="23" borderId="33" xfId="0" applyNumberFormat="1" applyFont="1" applyFill="1" applyBorder="1" applyAlignment="1">
      <alignment horizontal="center" vertical="center" wrapText="1"/>
    </xf>
    <xf numFmtId="164" fontId="44" fillId="9" borderId="33" xfId="0" applyNumberFormat="1" applyFont="1" applyFill="1" applyBorder="1" applyAlignment="1">
      <alignment horizontal="center" vertical="center" wrapText="1"/>
    </xf>
    <xf numFmtId="164" fontId="44" fillId="9" borderId="35" xfId="0" applyNumberFormat="1" applyFont="1" applyFill="1" applyBorder="1" applyAlignment="1">
      <alignment horizontal="center" vertical="center" wrapText="1"/>
    </xf>
    <xf numFmtId="164" fontId="52" fillId="5" borderId="22" xfId="0" applyNumberFormat="1" applyFont="1" applyFill="1" applyBorder="1" applyAlignment="1">
      <alignment horizontal="center" vertical="center"/>
    </xf>
    <xf numFmtId="164" fontId="51" fillId="0" borderId="1" xfId="0" applyNumberFormat="1" applyFont="1" applyBorder="1" applyAlignment="1">
      <alignment horizontal="center" vertical="center"/>
    </xf>
    <xf numFmtId="164" fontId="0" fillId="2" borderId="0" xfId="0" applyNumberFormat="1" applyFill="1"/>
    <xf numFmtId="0" fontId="53" fillId="0" borderId="22" xfId="0" applyFont="1" applyBorder="1"/>
    <xf numFmtId="0" fontId="0" fillId="0" borderId="22" xfId="0" applyBorder="1"/>
    <xf numFmtId="0" fontId="54" fillId="0" borderId="22" xfId="0" applyFont="1" applyBorder="1"/>
    <xf numFmtId="0" fontId="0" fillId="0" borderId="44" xfId="0" applyBorder="1"/>
    <xf numFmtId="0" fontId="54" fillId="0" borderId="44" xfId="0" applyFont="1" applyBorder="1"/>
    <xf numFmtId="0" fontId="23" fillId="0" borderId="0" xfId="0" applyFont="1"/>
    <xf numFmtId="0" fontId="57" fillId="0" borderId="0" xfId="0" applyFont="1"/>
    <xf numFmtId="0" fontId="35" fillId="25" borderId="22" xfId="0" applyFont="1" applyFill="1" applyBorder="1" applyAlignment="1">
      <alignment horizontal="center"/>
    </xf>
    <xf numFmtId="0" fontId="16" fillId="15" borderId="19" xfId="0" applyFont="1" applyFill="1" applyBorder="1" applyAlignment="1">
      <alignment vertical="top" wrapText="1"/>
    </xf>
    <xf numFmtId="0" fontId="16" fillId="15" borderId="17" xfId="0" applyFont="1" applyFill="1" applyBorder="1" applyAlignment="1">
      <alignment vertical="top" wrapText="1"/>
    </xf>
    <xf numFmtId="14" fontId="17" fillId="15" borderId="19" xfId="0" applyNumberFormat="1" applyFont="1" applyFill="1" applyBorder="1" applyAlignment="1">
      <alignment horizontal="center" vertical="top"/>
    </xf>
    <xf numFmtId="0" fontId="17" fillId="15" borderId="19" xfId="0" applyFont="1" applyFill="1" applyBorder="1" applyAlignment="1">
      <alignment horizontal="center" vertical="top"/>
    </xf>
    <xf numFmtId="0" fontId="17" fillId="15" borderId="17" xfId="0" applyFont="1" applyFill="1" applyBorder="1" applyAlignment="1">
      <alignment horizontal="center" vertical="top"/>
    </xf>
    <xf numFmtId="0" fontId="18" fillId="15" borderId="19" xfId="0" applyFont="1" applyFill="1" applyBorder="1" applyAlignment="1">
      <alignment horizontal="center" vertical="top"/>
    </xf>
    <xf numFmtId="0" fontId="18" fillId="15" borderId="17" xfId="0" applyFont="1" applyFill="1" applyBorder="1" applyAlignment="1">
      <alignment horizontal="center" vertical="top"/>
    </xf>
    <xf numFmtId="0" fontId="19" fillId="15" borderId="19" xfId="0" applyFont="1" applyFill="1" applyBorder="1" applyAlignment="1">
      <alignment vertical="top"/>
    </xf>
    <xf numFmtId="0" fontId="19" fillId="15" borderId="17" xfId="0" applyFont="1" applyFill="1" applyBorder="1" applyAlignment="1">
      <alignment vertical="top"/>
    </xf>
    <xf numFmtId="0" fontId="17" fillId="15" borderId="21" xfId="0" applyFont="1" applyFill="1" applyBorder="1" applyAlignment="1">
      <alignment horizontal="center" vertical="top"/>
    </xf>
    <xf numFmtId="0" fontId="17" fillId="15" borderId="16" xfId="0" applyFont="1" applyFill="1" applyBorder="1" applyAlignment="1">
      <alignment horizontal="center" vertical="top"/>
    </xf>
    <xf numFmtId="0" fontId="0" fillId="2" borderId="35" xfId="0" applyFill="1" applyBorder="1" applyAlignment="1">
      <alignment horizontal="center" vertical="center"/>
    </xf>
    <xf numFmtId="14" fontId="0" fillId="2" borderId="22" xfId="0" applyNumberFormat="1" applyFill="1" applyBorder="1" applyAlignment="1">
      <alignment horizontal="center" vertical="center"/>
    </xf>
    <xf numFmtId="0" fontId="23" fillId="16" borderId="25" xfId="0" applyFont="1" applyFill="1" applyBorder="1" applyAlignment="1">
      <alignment horizontal="center" vertical="center"/>
    </xf>
    <xf numFmtId="0" fontId="23" fillId="16" borderId="32" xfId="0" applyFont="1" applyFill="1" applyBorder="1" applyAlignment="1">
      <alignment horizontal="center" vertical="center"/>
    </xf>
    <xf numFmtId="0" fontId="23" fillId="16" borderId="28" xfId="0" applyFont="1" applyFill="1" applyBorder="1" applyAlignment="1">
      <alignment horizontal="center" vertical="center"/>
    </xf>
    <xf numFmtId="0" fontId="23" fillId="16" borderId="33" xfId="0" applyFont="1" applyFill="1" applyBorder="1" applyAlignment="1">
      <alignment horizontal="center" vertical="center"/>
    </xf>
    <xf numFmtId="0" fontId="0" fillId="0" borderId="22" xfId="0" applyBorder="1" applyAlignment="1">
      <alignment vertical="center"/>
    </xf>
    <xf numFmtId="0" fontId="0" fillId="2" borderId="22" xfId="0" applyFill="1" applyBorder="1" applyAlignment="1">
      <alignment horizontal="center" vertical="center"/>
    </xf>
    <xf numFmtId="14" fontId="0" fillId="19" borderId="22" xfId="0" applyNumberFormat="1" applyFill="1" applyBorder="1" applyAlignment="1">
      <alignment horizontal="center" vertical="center"/>
    </xf>
    <xf numFmtId="0" fontId="0" fillId="20" borderId="51" xfId="0" applyFill="1" applyBorder="1" applyAlignment="1">
      <alignment horizontal="center" vertical="center"/>
    </xf>
    <xf numFmtId="0" fontId="0" fillId="20" borderId="35" xfId="0" applyFill="1" applyBorder="1" applyAlignment="1">
      <alignment horizontal="center" vertical="center"/>
    </xf>
    <xf numFmtId="0" fontId="0" fillId="20" borderId="37" xfId="0" applyFill="1" applyBorder="1" applyAlignment="1">
      <alignment horizontal="center" vertical="center"/>
    </xf>
    <xf numFmtId="14" fontId="0" fillId="2" borderId="52" xfId="0" applyNumberFormat="1" applyFill="1" applyBorder="1" applyAlignment="1">
      <alignment horizontal="center" vertical="center"/>
    </xf>
    <xf numFmtId="14" fontId="0" fillId="2" borderId="38" xfId="0" applyNumberFormat="1" applyFill="1" applyBorder="1" applyAlignment="1">
      <alignment horizontal="center" vertical="center"/>
    </xf>
    <xf numFmtId="0" fontId="0" fillId="20" borderId="52" xfId="0" applyFill="1" applyBorder="1" applyAlignment="1">
      <alignment horizontal="center" vertical="center"/>
    </xf>
    <xf numFmtId="0" fontId="0" fillId="20" borderId="22" xfId="0" applyFill="1" applyBorder="1" applyAlignment="1">
      <alignment horizontal="center" vertical="center"/>
    </xf>
    <xf numFmtId="0" fontId="0" fillId="20" borderId="38" xfId="0" applyFill="1" applyBorder="1" applyAlignment="1">
      <alignment horizontal="center" vertical="center"/>
    </xf>
    <xf numFmtId="0" fontId="0" fillId="20" borderId="53" xfId="0" applyFill="1" applyBorder="1" applyAlignment="1">
      <alignment horizontal="center" vertical="center"/>
    </xf>
    <xf numFmtId="0" fontId="0" fillId="20" borderId="48" xfId="0" applyFill="1" applyBorder="1" applyAlignment="1">
      <alignment horizontal="center" vertical="center"/>
    </xf>
    <xf numFmtId="0" fontId="0" fillId="20" borderId="55" xfId="0" applyFill="1" applyBorder="1" applyAlignment="1">
      <alignment horizontal="center" vertical="center"/>
    </xf>
    <xf numFmtId="0" fontId="0" fillId="19" borderId="35" xfId="0" applyFill="1" applyBorder="1" applyAlignment="1">
      <alignment horizontal="center" vertical="center"/>
    </xf>
    <xf numFmtId="0" fontId="0" fillId="19" borderId="22" xfId="0" applyFill="1" applyBorder="1" applyAlignment="1">
      <alignment horizontal="center" vertical="center"/>
    </xf>
    <xf numFmtId="0" fontId="23" fillId="16" borderId="29" xfId="0" applyFont="1" applyFill="1" applyBorder="1" applyAlignment="1">
      <alignment horizontal="center" vertical="center" wrapText="1"/>
    </xf>
    <xf numFmtId="0" fontId="23" fillId="16" borderId="18" xfId="0" applyFont="1" applyFill="1" applyBorder="1" applyAlignment="1">
      <alignment horizontal="center" vertical="center"/>
    </xf>
    <xf numFmtId="0" fontId="23" fillId="16" borderId="21" xfId="0" applyFont="1" applyFill="1" applyBorder="1" applyAlignment="1">
      <alignment horizontal="center" vertical="center" wrapText="1"/>
    </xf>
    <xf numFmtId="0" fontId="23" fillId="16" borderId="16" xfId="0" applyFont="1" applyFill="1" applyBorder="1" applyAlignment="1">
      <alignment horizontal="center" vertical="center" wrapText="1"/>
    </xf>
    <xf numFmtId="0" fontId="0" fillId="20" borderId="56" xfId="0" applyFill="1" applyBorder="1" applyAlignment="1">
      <alignment horizontal="center" vertical="center"/>
    </xf>
    <xf numFmtId="14" fontId="0" fillId="2" borderId="44" xfId="0" applyNumberFormat="1" applyFill="1" applyBorder="1" applyAlignment="1">
      <alignment horizontal="center" vertical="center"/>
    </xf>
    <xf numFmtId="0" fontId="0" fillId="20" borderId="44" xfId="0" applyFill="1" applyBorder="1" applyAlignment="1">
      <alignment horizontal="center" vertical="center"/>
    </xf>
    <xf numFmtId="0" fontId="0" fillId="19" borderId="22" xfId="0" applyFill="1" applyBorder="1" applyAlignment="1">
      <alignment horizontal="left" vertical="center"/>
    </xf>
    <xf numFmtId="0" fontId="0" fillId="2" borderId="37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0" borderId="38" xfId="0" applyBorder="1" applyAlignment="1">
      <alignment vertical="center"/>
    </xf>
    <xf numFmtId="0" fontId="23" fillId="16" borderId="30" xfId="0" applyFont="1" applyFill="1" applyBorder="1" applyAlignment="1">
      <alignment horizontal="center" vertical="center"/>
    </xf>
    <xf numFmtId="0" fontId="23" fillId="16" borderId="3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vertical="center" wrapText="1"/>
    </xf>
    <xf numFmtId="0" fontId="13" fillId="11" borderId="2" xfId="0" applyFont="1" applyFill="1" applyBorder="1" applyAlignment="1">
      <alignment vertical="center" wrapText="1"/>
    </xf>
    <xf numFmtId="0" fontId="7" fillId="0" borderId="11" xfId="0" applyFont="1" applyBorder="1" applyAlignment="1">
      <alignment vertical="center" wrapText="1"/>
    </xf>
    <xf numFmtId="0" fontId="7" fillId="0" borderId="9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9" fillId="0" borderId="11" xfId="0" applyFont="1" applyBorder="1" applyAlignment="1">
      <alignment vertical="center" wrapText="1"/>
    </xf>
    <xf numFmtId="0" fontId="9" fillId="0" borderId="2" xfId="0" applyFont="1" applyBorder="1" applyAlignment="1">
      <alignment vertical="center" wrapText="1"/>
    </xf>
    <xf numFmtId="0" fontId="7" fillId="0" borderId="10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4" fillId="0" borderId="10" xfId="0" applyFont="1" applyBorder="1" applyAlignment="1">
      <alignment vertical="top" wrapText="1"/>
    </xf>
    <xf numFmtId="0" fontId="4" fillId="0" borderId="5" xfId="0" applyFont="1" applyBorder="1" applyAlignment="1">
      <alignment vertical="top" wrapText="1"/>
    </xf>
    <xf numFmtId="0" fontId="4" fillId="0" borderId="4" xfId="0" applyFont="1" applyBorder="1" applyAlignment="1">
      <alignment vertical="top" wrapText="1"/>
    </xf>
    <xf numFmtId="0" fontId="11" fillId="7" borderId="14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2" fillId="0" borderId="11" xfId="0" applyFont="1" applyBorder="1" applyAlignment="1">
      <alignment vertical="center" wrapText="1"/>
    </xf>
    <xf numFmtId="0" fontId="12" fillId="0" borderId="9" xfId="0" applyFont="1" applyBorder="1" applyAlignment="1">
      <alignment vertical="center" wrapText="1"/>
    </xf>
    <xf numFmtId="0" fontId="11" fillId="0" borderId="12" xfId="0" applyFont="1" applyBorder="1" applyAlignment="1">
      <alignment vertical="center" wrapText="1"/>
    </xf>
    <xf numFmtId="0" fontId="11" fillId="0" borderId="13" xfId="0" applyFont="1" applyBorder="1" applyAlignment="1">
      <alignment vertical="center" wrapText="1"/>
    </xf>
    <xf numFmtId="0" fontId="11" fillId="0" borderId="14" xfId="0" applyFont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0" fontId="11" fillId="0" borderId="7" xfId="0" applyFont="1" applyBorder="1" applyAlignment="1">
      <alignment vertical="center" wrapText="1"/>
    </xf>
    <xf numFmtId="0" fontId="11" fillId="0" borderId="6" xfId="0" applyFont="1" applyBorder="1" applyAlignment="1">
      <alignment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4" fontId="1" fillId="9" borderId="22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4" borderId="22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eyglobaltaxplatform.visualstudio.com/EYMP/_workitems/edit/14596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FA013-DEF6-4530-842E-688F257D4577}">
  <dimension ref="B2:I17"/>
  <sheetViews>
    <sheetView workbookViewId="0">
      <selection activeCell="J12" sqref="J12"/>
    </sheetView>
  </sheetViews>
  <sheetFormatPr defaultColWidth="9.1796875" defaultRowHeight="14.5" x14ac:dyDescent="0.35"/>
  <cols>
    <col min="1" max="1" width="9.1796875" style="1"/>
    <col min="2" max="2" width="37.54296875" style="1" customWidth="1"/>
    <col min="3" max="3" width="13.453125" style="1" bestFit="1" customWidth="1"/>
    <col min="4" max="5" width="11.26953125" style="46" hidden="1" customWidth="1"/>
    <col min="6" max="6" width="11.26953125" style="46" customWidth="1"/>
    <col min="7" max="7" width="13" style="43" bestFit="1" customWidth="1"/>
    <col min="8" max="8" width="59" style="1" customWidth="1"/>
    <col min="9" max="9" width="13" style="1" bestFit="1" customWidth="1"/>
    <col min="10" max="16384" width="9.1796875" style="1"/>
  </cols>
  <sheetData>
    <row r="2" spans="2:9" x14ac:dyDescent="0.35">
      <c r="B2" s="39" t="s">
        <v>0</v>
      </c>
      <c r="C2" s="40" t="s">
        <v>1</v>
      </c>
      <c r="D2" s="47" t="s">
        <v>2</v>
      </c>
      <c r="E2" s="47" t="s">
        <v>3</v>
      </c>
      <c r="F2" s="47" t="s">
        <v>4</v>
      </c>
      <c r="G2" s="44" t="s">
        <v>5</v>
      </c>
      <c r="H2" s="40" t="s">
        <v>6</v>
      </c>
      <c r="I2" s="40" t="s">
        <v>7</v>
      </c>
    </row>
    <row r="3" spans="2:9" x14ac:dyDescent="0.35">
      <c r="B3" s="48" t="s">
        <v>8</v>
      </c>
      <c r="C3" s="49" t="s">
        <v>9</v>
      </c>
      <c r="D3" s="45">
        <v>45947</v>
      </c>
      <c r="E3" s="45">
        <v>45950</v>
      </c>
      <c r="F3" s="45"/>
      <c r="G3" s="57" t="s">
        <v>10</v>
      </c>
      <c r="H3" s="50" t="s">
        <v>11</v>
      </c>
      <c r="I3" s="51" t="s">
        <v>9</v>
      </c>
    </row>
    <row r="4" spans="2:9" ht="15" customHeight="1" x14ac:dyDescent="0.35">
      <c r="B4" s="42" t="s">
        <v>12</v>
      </c>
      <c r="C4" s="294" t="s">
        <v>9</v>
      </c>
      <c r="D4" s="296">
        <v>45947</v>
      </c>
      <c r="E4" s="296">
        <v>45957</v>
      </c>
      <c r="F4" s="108"/>
      <c r="G4" s="299" t="s">
        <v>10</v>
      </c>
      <c r="H4" s="52" t="s">
        <v>13</v>
      </c>
      <c r="I4" s="301" t="s">
        <v>9</v>
      </c>
    </row>
    <row r="5" spans="2:9" ht="29" x14ac:dyDescent="0.35">
      <c r="B5" s="41" t="s">
        <v>14</v>
      </c>
      <c r="C5" s="294"/>
      <c r="D5" s="297"/>
      <c r="E5" s="297"/>
      <c r="F5" s="109"/>
      <c r="G5" s="299"/>
      <c r="H5" s="52" t="s">
        <v>15</v>
      </c>
      <c r="I5" s="301"/>
    </row>
    <row r="6" spans="2:9" x14ac:dyDescent="0.35">
      <c r="B6" s="41" t="s">
        <v>16</v>
      </c>
      <c r="C6" s="294"/>
      <c r="D6" s="297"/>
      <c r="E6" s="297"/>
      <c r="F6" s="109"/>
      <c r="G6" s="299"/>
      <c r="H6" s="52" t="s">
        <v>11</v>
      </c>
      <c r="I6" s="301"/>
    </row>
    <row r="7" spans="2:9" x14ac:dyDescent="0.35">
      <c r="B7" s="59" t="s">
        <v>17</v>
      </c>
      <c r="C7" s="295"/>
      <c r="D7" s="298"/>
      <c r="E7" s="298"/>
      <c r="F7" s="110"/>
      <c r="G7" s="300"/>
      <c r="H7" s="53" t="s">
        <v>11</v>
      </c>
      <c r="I7" s="302"/>
    </row>
    <row r="8" spans="2:9" x14ac:dyDescent="0.35">
      <c r="B8" s="48" t="s">
        <v>18</v>
      </c>
      <c r="C8" s="49" t="s">
        <v>9</v>
      </c>
      <c r="D8" s="45">
        <v>45953</v>
      </c>
      <c r="E8" s="45">
        <v>45965</v>
      </c>
      <c r="F8" s="45"/>
      <c r="G8" s="57" t="s">
        <v>10</v>
      </c>
      <c r="H8" s="51" t="s">
        <v>19</v>
      </c>
      <c r="I8" s="51" t="s">
        <v>9</v>
      </c>
    </row>
    <row r="9" spans="2:9" ht="29" x14ac:dyDescent="0.35">
      <c r="B9" s="48" t="s">
        <v>20</v>
      </c>
      <c r="C9" s="49" t="s">
        <v>21</v>
      </c>
      <c r="D9" s="45">
        <v>45960</v>
      </c>
      <c r="E9" s="45">
        <v>45961</v>
      </c>
      <c r="F9" s="45"/>
      <c r="G9" s="57" t="s">
        <v>10</v>
      </c>
      <c r="H9" s="53" t="s">
        <v>22</v>
      </c>
      <c r="I9" s="51" t="s">
        <v>9</v>
      </c>
    </row>
    <row r="10" spans="2:9" ht="43.5" x14ac:dyDescent="0.35">
      <c r="B10" s="48" t="s">
        <v>23</v>
      </c>
      <c r="C10" s="49" t="s">
        <v>21</v>
      </c>
      <c r="D10" s="45">
        <v>45965</v>
      </c>
      <c r="E10" s="45">
        <v>45965</v>
      </c>
      <c r="F10" s="45"/>
      <c r="G10" s="57" t="s">
        <v>10</v>
      </c>
      <c r="H10" s="53" t="s">
        <v>24</v>
      </c>
      <c r="I10" s="54" t="s">
        <v>25</v>
      </c>
    </row>
    <row r="11" spans="2:9" x14ac:dyDescent="0.35">
      <c r="B11" s="105" t="s">
        <v>26</v>
      </c>
      <c r="C11" s="106" t="s">
        <v>27</v>
      </c>
      <c r="D11" s="107">
        <v>45973</v>
      </c>
      <c r="E11" s="107">
        <v>45974</v>
      </c>
      <c r="F11" s="107"/>
      <c r="G11" s="57" t="s">
        <v>10</v>
      </c>
      <c r="H11" s="106" t="s">
        <v>28</v>
      </c>
      <c r="I11" s="106" t="s">
        <v>11</v>
      </c>
    </row>
    <row r="12" spans="2:9" x14ac:dyDescent="0.35">
      <c r="B12" s="105" t="s">
        <v>29</v>
      </c>
      <c r="C12" s="106" t="s">
        <v>27</v>
      </c>
      <c r="D12" s="107">
        <v>45974</v>
      </c>
      <c r="E12" s="107">
        <v>45975</v>
      </c>
      <c r="F12" s="107"/>
      <c r="G12" s="57" t="s">
        <v>10</v>
      </c>
      <c r="H12" s="106" t="s">
        <v>30</v>
      </c>
      <c r="I12" s="106" t="s">
        <v>11</v>
      </c>
    </row>
    <row r="13" spans="2:9" x14ac:dyDescent="0.35">
      <c r="B13" s="105" t="s">
        <v>31</v>
      </c>
      <c r="C13" s="106" t="s">
        <v>21</v>
      </c>
      <c r="D13" s="143">
        <v>45975</v>
      </c>
      <c r="E13" s="143">
        <v>45976</v>
      </c>
      <c r="F13" s="143"/>
      <c r="G13" s="144" t="s">
        <v>10</v>
      </c>
      <c r="H13" s="146" t="s">
        <v>32</v>
      </c>
      <c r="I13" s="142" t="s">
        <v>11</v>
      </c>
    </row>
    <row r="14" spans="2:9" x14ac:dyDescent="0.35">
      <c r="B14" s="105" t="s">
        <v>33</v>
      </c>
      <c r="C14" s="106" t="s">
        <v>27</v>
      </c>
      <c r="D14" s="143">
        <v>45978</v>
      </c>
      <c r="E14" s="143">
        <v>45979</v>
      </c>
      <c r="F14" s="143"/>
      <c r="G14" s="145" t="s">
        <v>10</v>
      </c>
      <c r="H14" s="106" t="s">
        <v>34</v>
      </c>
      <c r="I14" s="142" t="s">
        <v>11</v>
      </c>
    </row>
    <row r="15" spans="2:9" ht="29" x14ac:dyDescent="0.35">
      <c r="B15" s="48" t="s">
        <v>35</v>
      </c>
      <c r="C15" s="49" t="s">
        <v>27</v>
      </c>
      <c r="D15" s="303" t="s">
        <v>36</v>
      </c>
      <c r="E15" s="304"/>
      <c r="F15" s="135"/>
      <c r="G15" s="58" t="s">
        <v>37</v>
      </c>
      <c r="H15" s="55" t="s">
        <v>38</v>
      </c>
      <c r="I15" s="51" t="s">
        <v>11</v>
      </c>
    </row>
    <row r="16" spans="2:9" ht="29" x14ac:dyDescent="0.35">
      <c r="B16" s="48" t="s">
        <v>39</v>
      </c>
      <c r="C16" s="49" t="s">
        <v>27</v>
      </c>
      <c r="D16" s="303" t="s">
        <v>36</v>
      </c>
      <c r="E16" s="304"/>
      <c r="F16" s="135"/>
      <c r="G16" s="58" t="s">
        <v>37</v>
      </c>
      <c r="H16" s="56" t="s">
        <v>40</v>
      </c>
      <c r="I16" s="51" t="s">
        <v>11</v>
      </c>
    </row>
    <row r="17" spans="2:9" ht="29" x14ac:dyDescent="0.35">
      <c r="B17" s="48" t="s">
        <v>41</v>
      </c>
      <c r="C17" s="49" t="s">
        <v>27</v>
      </c>
      <c r="D17" s="303" t="s">
        <v>36</v>
      </c>
      <c r="E17" s="304"/>
      <c r="F17" s="135"/>
      <c r="G17" s="58" t="s">
        <v>37</v>
      </c>
      <c r="H17" s="56" t="s">
        <v>42</v>
      </c>
      <c r="I17" s="51" t="s">
        <v>11</v>
      </c>
    </row>
  </sheetData>
  <mergeCells count="8">
    <mergeCell ref="D15:E15"/>
    <mergeCell ref="D16:E16"/>
    <mergeCell ref="D17:E17"/>
    <mergeCell ref="C4:C7"/>
    <mergeCell ref="D4:D7"/>
    <mergeCell ref="E4:E7"/>
    <mergeCell ref="G4:G7"/>
    <mergeCell ref="I4:I7"/>
  </mergeCells>
  <hyperlinks>
    <hyperlink ref="I10" r:id="rId1" xr:uid="{B4C6BE8D-C134-43AE-BC3F-0638B32C92D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0B77-C3E4-406E-922B-A770F821E027}">
  <dimension ref="B2:K57"/>
  <sheetViews>
    <sheetView topLeftCell="B1" workbookViewId="0">
      <pane ySplit="3" topLeftCell="A4" activePane="bottomLeft" state="frozen"/>
      <selection pane="bottomLeft" activeCell="F57" sqref="F57"/>
    </sheetView>
  </sheetViews>
  <sheetFormatPr defaultColWidth="9.1796875" defaultRowHeight="14.5" x14ac:dyDescent="0.35"/>
  <cols>
    <col min="1" max="1" width="9.1796875" style="1"/>
    <col min="2" max="2" width="13.7265625" style="1" customWidth="1"/>
    <col min="3" max="3" width="19.54296875" style="1" bestFit="1" customWidth="1"/>
    <col min="4" max="4" width="13.26953125" style="1" bestFit="1" customWidth="1"/>
    <col min="5" max="5" width="26" style="1" customWidth="1"/>
    <col min="6" max="6" width="18.81640625" style="1" bestFit="1" customWidth="1"/>
    <col min="7" max="7" width="17.7265625" style="1" customWidth="1"/>
    <col min="8" max="8" width="17.453125" style="1" customWidth="1"/>
    <col min="9" max="10" width="18" style="1" customWidth="1"/>
    <col min="11" max="11" width="24.453125" style="1" customWidth="1"/>
    <col min="12" max="16384" width="9.1796875" style="1"/>
  </cols>
  <sheetData>
    <row r="2" spans="2:11" ht="33" customHeight="1" x14ac:dyDescent="0.35">
      <c r="B2" s="338" t="s">
        <v>43</v>
      </c>
      <c r="C2" s="307" t="s">
        <v>44</v>
      </c>
      <c r="D2" s="307" t="s">
        <v>45</v>
      </c>
      <c r="E2" s="309" t="s">
        <v>46</v>
      </c>
      <c r="F2" s="129" t="s">
        <v>47</v>
      </c>
      <c r="G2" s="128" t="s">
        <v>48</v>
      </c>
      <c r="H2" s="128" t="s">
        <v>49</v>
      </c>
      <c r="I2" s="128" t="s">
        <v>50</v>
      </c>
      <c r="J2" s="130" t="s">
        <v>51</v>
      </c>
      <c r="K2" s="327" t="s">
        <v>52</v>
      </c>
    </row>
    <row r="3" spans="2:11" ht="33.75" customHeight="1" x14ac:dyDescent="0.35">
      <c r="B3" s="339"/>
      <c r="C3" s="308"/>
      <c r="D3" s="308"/>
      <c r="E3" s="310"/>
      <c r="F3" s="329" t="s">
        <v>53</v>
      </c>
      <c r="G3" s="329"/>
      <c r="H3" s="329"/>
      <c r="I3" s="329"/>
      <c r="J3" s="330"/>
      <c r="K3" s="328"/>
    </row>
    <row r="4" spans="2:11" x14ac:dyDescent="0.35">
      <c r="B4" s="141">
        <v>1</v>
      </c>
      <c r="C4" s="166">
        <v>45961</v>
      </c>
      <c r="D4" s="111" t="s">
        <v>21</v>
      </c>
      <c r="E4" s="167" t="s">
        <v>54</v>
      </c>
      <c r="F4" s="168">
        <v>7.5694444444444439E-2</v>
      </c>
      <c r="G4" s="169">
        <v>3.5069444444444445E-3</v>
      </c>
      <c r="H4" s="170">
        <v>4.8379629629629627E-2</v>
      </c>
      <c r="I4" s="171">
        <v>1.804398148148148E-2</v>
      </c>
      <c r="J4" s="172" t="s">
        <v>9</v>
      </c>
      <c r="K4" s="173">
        <v>3.27</v>
      </c>
    </row>
    <row r="5" spans="2:11" x14ac:dyDescent="0.35">
      <c r="B5" s="305">
        <v>2</v>
      </c>
      <c r="C5" s="306">
        <v>45965</v>
      </c>
      <c r="D5" s="312" t="s">
        <v>21</v>
      </c>
      <c r="E5" s="311" t="s">
        <v>55</v>
      </c>
      <c r="F5" s="155">
        <v>0.11648869212962963</v>
      </c>
      <c r="G5" s="156">
        <v>3.5959837962962959E-3</v>
      </c>
      <c r="H5" s="157">
        <v>7.5510219907407403E-2</v>
      </c>
      <c r="I5" s="158">
        <v>3.008252314814815E-2</v>
      </c>
      <c r="J5" s="140">
        <v>2.2577546296296297E-4</v>
      </c>
      <c r="K5" s="161">
        <v>5</v>
      </c>
    </row>
    <row r="6" spans="2:11" x14ac:dyDescent="0.35">
      <c r="B6" s="305"/>
      <c r="C6" s="306"/>
      <c r="D6" s="312"/>
      <c r="E6" s="311"/>
      <c r="F6" s="155">
        <v>0.18163685185185185</v>
      </c>
      <c r="G6" s="156">
        <v>3.5873379629629632E-3</v>
      </c>
      <c r="H6" s="157">
        <v>7.7393124999999993E-2</v>
      </c>
      <c r="I6" s="158">
        <v>1.9033217592592595E-2</v>
      </c>
      <c r="J6" s="140">
        <v>1.2981481481481481E-4</v>
      </c>
      <c r="K6" s="161">
        <v>7.83</v>
      </c>
    </row>
    <row r="7" spans="2:11" x14ac:dyDescent="0.35">
      <c r="B7" s="305"/>
      <c r="C7" s="306"/>
      <c r="D7" s="312"/>
      <c r="E7" s="311"/>
      <c r="F7" s="155">
        <v>0.19995543981481484</v>
      </c>
      <c r="G7" s="156">
        <v>3.5271990740740741E-3</v>
      </c>
      <c r="H7" s="157">
        <v>7.7878275462962956E-2</v>
      </c>
      <c r="I7" s="158">
        <v>1.7977696759259258E-2</v>
      </c>
      <c r="J7" s="140">
        <v>8.2025462962962957E-5</v>
      </c>
      <c r="K7" s="161">
        <v>8.64</v>
      </c>
    </row>
    <row r="8" spans="2:11" x14ac:dyDescent="0.35">
      <c r="B8" s="305"/>
      <c r="C8" s="306"/>
      <c r="D8" s="312"/>
      <c r="E8" s="311"/>
      <c r="F8" s="155">
        <v>0.12121516203703704</v>
      </c>
      <c r="G8" s="156">
        <v>3.6261111111111112E-3</v>
      </c>
      <c r="H8" s="157">
        <v>7.5139386574074069E-2</v>
      </c>
      <c r="I8" s="158">
        <v>3.5072372685185184E-2</v>
      </c>
      <c r="J8" s="140">
        <v>8.1898148148148149E-5</v>
      </c>
      <c r="K8" s="161">
        <v>5.24</v>
      </c>
    </row>
    <row r="9" spans="2:11" x14ac:dyDescent="0.35">
      <c r="B9" s="305"/>
      <c r="C9" s="306"/>
      <c r="D9" s="312"/>
      <c r="E9" s="311"/>
      <c r="F9" s="155">
        <v>0.22164351851851852</v>
      </c>
      <c r="G9" s="156">
        <v>3.5329861111111113E-3</v>
      </c>
      <c r="H9" s="157">
        <v>3.8686076388888886E-2</v>
      </c>
      <c r="I9" s="158">
        <v>1.7291631944444445E-2</v>
      </c>
      <c r="J9" s="140">
        <v>7.7824074074074083E-5</v>
      </c>
      <c r="K9" s="161">
        <v>9.58</v>
      </c>
    </row>
    <row r="10" spans="2:11" x14ac:dyDescent="0.35">
      <c r="B10" s="147">
        <v>3</v>
      </c>
      <c r="C10" s="133">
        <v>45973</v>
      </c>
      <c r="D10" s="159" t="s">
        <v>27</v>
      </c>
      <c r="E10" s="134" t="s">
        <v>56</v>
      </c>
      <c r="F10" s="155">
        <v>6.2233796296296294E-2</v>
      </c>
      <c r="G10" s="131">
        <v>3.5166666712029837E-3</v>
      </c>
      <c r="H10" s="132">
        <v>3.6496574073680677E-2</v>
      </c>
      <c r="I10" s="160">
        <v>1.6856944443134125E-2</v>
      </c>
      <c r="J10" s="140" t="s">
        <v>9</v>
      </c>
      <c r="K10" s="162">
        <v>2.68</v>
      </c>
    </row>
    <row r="11" spans="2:11" x14ac:dyDescent="0.35">
      <c r="B11" s="305">
        <v>4</v>
      </c>
      <c r="C11" s="306">
        <v>45974</v>
      </c>
      <c r="D11" s="312" t="s">
        <v>27</v>
      </c>
      <c r="E11" s="311" t="s">
        <v>57</v>
      </c>
      <c r="F11" s="136">
        <v>0.16341473379629629</v>
      </c>
      <c r="G11" s="137">
        <v>3.5049421296296296E-3</v>
      </c>
      <c r="H11" s="138">
        <v>5.6649652777777774E-2</v>
      </c>
      <c r="I11" s="139">
        <v>1.7167013888888888E-2</v>
      </c>
      <c r="J11" s="140" t="s">
        <v>9</v>
      </c>
      <c r="K11" s="163">
        <v>7.05</v>
      </c>
    </row>
    <row r="12" spans="2:11" x14ac:dyDescent="0.35">
      <c r="B12" s="305"/>
      <c r="C12" s="306"/>
      <c r="D12" s="312"/>
      <c r="E12" s="311"/>
      <c r="F12" s="136">
        <v>0.16118769675925926</v>
      </c>
      <c r="G12" s="137">
        <v>3.5204398148148148E-3</v>
      </c>
      <c r="H12" s="138">
        <v>7.7781562499999998E-2</v>
      </c>
      <c r="I12" s="139">
        <v>7.4090590277777771E-2</v>
      </c>
      <c r="J12" s="140" t="s">
        <v>9</v>
      </c>
      <c r="K12" s="163">
        <v>6.96</v>
      </c>
    </row>
    <row r="13" spans="2:11" x14ac:dyDescent="0.35">
      <c r="B13" s="305"/>
      <c r="C13" s="306"/>
      <c r="D13" s="312"/>
      <c r="E13" s="311"/>
      <c r="F13" s="136">
        <v>0.16162969907407407</v>
      </c>
      <c r="G13" s="137">
        <v>3.5142013888888892E-3</v>
      </c>
      <c r="H13" s="138">
        <v>7.7771145833333333E-2</v>
      </c>
      <c r="I13" s="139">
        <v>7.4148958333333334E-2</v>
      </c>
      <c r="J13" s="140" t="s">
        <v>9</v>
      </c>
      <c r="K13" s="163">
        <v>6.98</v>
      </c>
    </row>
    <row r="14" spans="2:11" s="127" customFormat="1" x14ac:dyDescent="0.35">
      <c r="B14" s="325">
        <v>5</v>
      </c>
      <c r="C14" s="313">
        <v>45975</v>
      </c>
      <c r="D14" s="326" t="s">
        <v>21</v>
      </c>
      <c r="E14" s="334" t="s">
        <v>58</v>
      </c>
      <c r="F14" s="275">
        <v>4.0235613425925923E-2</v>
      </c>
      <c r="G14" s="275">
        <v>4.7997685185185189E-5</v>
      </c>
      <c r="H14" s="275">
        <v>1.443587962962963E-2</v>
      </c>
      <c r="I14" s="275">
        <v>1.6289432870370369E-2</v>
      </c>
      <c r="J14" s="276" t="s">
        <v>9</v>
      </c>
      <c r="K14" s="164">
        <v>1.74</v>
      </c>
    </row>
    <row r="15" spans="2:11" s="127" customFormat="1" x14ac:dyDescent="0.35">
      <c r="B15" s="325"/>
      <c r="C15" s="313"/>
      <c r="D15" s="326"/>
      <c r="E15" s="334"/>
      <c r="F15" s="275">
        <v>0.13477361111111111</v>
      </c>
      <c r="G15" s="275">
        <v>1.0802083333333334E-4</v>
      </c>
      <c r="H15" s="275">
        <v>1.4716018518518517E-2</v>
      </c>
      <c r="I15" s="275">
        <v>1.612005787037037E-2</v>
      </c>
      <c r="J15" s="276" t="s">
        <v>9</v>
      </c>
      <c r="K15" s="165">
        <v>5.82</v>
      </c>
    </row>
    <row r="16" spans="2:11" s="127" customFormat="1" x14ac:dyDescent="0.35">
      <c r="B16" s="325"/>
      <c r="C16" s="313"/>
      <c r="D16" s="326"/>
      <c r="E16" s="334"/>
      <c r="F16" s="275">
        <v>0.15152076388888888</v>
      </c>
      <c r="G16" s="275">
        <v>1.0585648148148149E-4</v>
      </c>
      <c r="H16" s="275">
        <v>1.4590509259259258E-2</v>
      </c>
      <c r="I16" s="275">
        <v>1.7290081018518519E-2</v>
      </c>
      <c r="J16" s="276" t="s">
        <v>9</v>
      </c>
      <c r="K16" s="165">
        <v>6.55</v>
      </c>
    </row>
    <row r="17" spans="2:11" s="127" customFormat="1" x14ac:dyDescent="0.35">
      <c r="B17" s="325"/>
      <c r="C17" s="313"/>
      <c r="D17" s="326"/>
      <c r="E17" s="334"/>
      <c r="F17" s="275">
        <v>0.16716848379629629</v>
      </c>
      <c r="G17" s="275">
        <v>1.1535879629629631E-4</v>
      </c>
      <c r="H17" s="275">
        <v>1.5274386574074076E-2</v>
      </c>
      <c r="I17" s="275">
        <v>1.6842523148148148E-2</v>
      </c>
      <c r="J17" s="276" t="s">
        <v>9</v>
      </c>
      <c r="K17" s="165">
        <v>7.22</v>
      </c>
    </row>
    <row r="18" spans="2:11" s="127" customFormat="1" x14ac:dyDescent="0.35">
      <c r="B18" s="325"/>
      <c r="C18" s="313"/>
      <c r="D18" s="326"/>
      <c r="E18" s="334"/>
      <c r="F18" s="277">
        <v>0.18333333333333332</v>
      </c>
      <c r="G18" s="275">
        <v>1.2192129629629631E-4</v>
      </c>
      <c r="H18" s="275">
        <v>1.4720717592592591E-2</v>
      </c>
      <c r="I18" s="275">
        <v>1.6960879629629631E-2</v>
      </c>
      <c r="J18" s="276" t="s">
        <v>9</v>
      </c>
      <c r="K18" s="165">
        <v>7.92</v>
      </c>
    </row>
    <row r="19" spans="2:11" s="127" customFormat="1" x14ac:dyDescent="0.35">
      <c r="B19" s="325"/>
      <c r="C19" s="313"/>
      <c r="D19" s="326"/>
      <c r="E19" s="334"/>
      <c r="F19" s="275">
        <v>8.3256365740740745E-2</v>
      </c>
      <c r="G19" s="275">
        <v>2.9560185185185188E-5</v>
      </c>
      <c r="H19" s="275">
        <v>1.4458333333333333E-2</v>
      </c>
      <c r="I19" s="275">
        <v>1.5940856481481479E-2</v>
      </c>
      <c r="J19" s="276" t="s">
        <v>9</v>
      </c>
      <c r="K19" s="164">
        <v>3.6</v>
      </c>
    </row>
    <row r="20" spans="2:11" s="127" customFormat="1" x14ac:dyDescent="0.35">
      <c r="B20" s="325"/>
      <c r="C20" s="313"/>
      <c r="D20" s="326"/>
      <c r="E20" s="334"/>
      <c r="F20" s="275">
        <v>9.8419826388888895E-2</v>
      </c>
      <c r="G20" s="275">
        <v>7.0370370370370365E-5</v>
      </c>
      <c r="H20" s="275">
        <v>1.4678969907407406E-2</v>
      </c>
      <c r="I20" s="275">
        <v>1.6074652777777778E-2</v>
      </c>
      <c r="J20" s="276" t="s">
        <v>9</v>
      </c>
      <c r="K20" s="164">
        <v>4.25</v>
      </c>
    </row>
    <row r="21" spans="2:11" s="127" customFormat="1" x14ac:dyDescent="0.35">
      <c r="B21" s="325"/>
      <c r="C21" s="313"/>
      <c r="D21" s="326"/>
      <c r="E21" s="334"/>
      <c r="F21" s="275">
        <v>0.11265879629629628</v>
      </c>
      <c r="G21" s="275">
        <v>6.631944444444445E-5</v>
      </c>
      <c r="H21" s="275">
        <v>1.4652581018518518E-2</v>
      </c>
      <c r="I21" s="275">
        <v>1.5643252314814816E-2</v>
      </c>
      <c r="J21" s="276" t="s">
        <v>9</v>
      </c>
      <c r="K21" s="164">
        <v>4.87</v>
      </c>
    </row>
    <row r="22" spans="2:11" s="127" customFormat="1" x14ac:dyDescent="0.35">
      <c r="B22" s="325"/>
      <c r="C22" s="313"/>
      <c r="D22" s="326"/>
      <c r="E22" s="334"/>
      <c r="F22" s="275">
        <v>6.3931712962962961E-2</v>
      </c>
      <c r="G22" s="275">
        <v>7.0567129629629639E-5</v>
      </c>
      <c r="H22" s="275">
        <v>1.5608020833333331E-2</v>
      </c>
      <c r="I22" s="275">
        <v>1.5171493055555556E-2</v>
      </c>
      <c r="J22" s="276" t="s">
        <v>9</v>
      </c>
      <c r="K22" s="164">
        <v>2.76</v>
      </c>
    </row>
    <row r="23" spans="2:11" s="127" customFormat="1" x14ac:dyDescent="0.35">
      <c r="B23" s="325"/>
      <c r="C23" s="313"/>
      <c r="D23" s="326"/>
      <c r="E23" s="334"/>
      <c r="F23" s="275">
        <v>4.8541203703703704E-2</v>
      </c>
      <c r="G23" s="275">
        <v>7.33449074074074E-5</v>
      </c>
      <c r="H23" s="275">
        <v>1.5783842592592592E-2</v>
      </c>
      <c r="I23" s="275">
        <v>1.5992164351851853E-2</v>
      </c>
      <c r="J23" s="276" t="s">
        <v>9</v>
      </c>
      <c r="K23" s="164">
        <v>2.1</v>
      </c>
    </row>
    <row r="24" spans="2:11" x14ac:dyDescent="0.35">
      <c r="B24" s="305">
        <v>6</v>
      </c>
      <c r="C24" s="306">
        <v>45979</v>
      </c>
      <c r="D24" s="312" t="s">
        <v>27</v>
      </c>
      <c r="E24" s="311" t="s">
        <v>57</v>
      </c>
      <c r="F24" s="136">
        <v>7.0523379629629637E-2</v>
      </c>
      <c r="G24" s="137">
        <v>7.8819444444444455E-5</v>
      </c>
      <c r="H24" s="138">
        <v>2.7278541666666666E-2</v>
      </c>
      <c r="I24" s="139">
        <v>3.6944826388888886E-2</v>
      </c>
      <c r="J24" s="140" t="s">
        <v>9</v>
      </c>
      <c r="K24" s="148">
        <v>3.05</v>
      </c>
    </row>
    <row r="25" spans="2:11" x14ac:dyDescent="0.35">
      <c r="B25" s="305"/>
      <c r="C25" s="306"/>
      <c r="D25" s="312"/>
      <c r="E25" s="311"/>
      <c r="F25" s="136">
        <v>6.9544837962962958E-2</v>
      </c>
      <c r="G25" s="137">
        <v>1.5358796296296296E-4</v>
      </c>
      <c r="H25" s="138">
        <v>2.7391585648148146E-2</v>
      </c>
      <c r="I25" s="139">
        <v>3.6438587962962961E-2</v>
      </c>
      <c r="J25" s="140" t="s">
        <v>9</v>
      </c>
      <c r="K25" s="148">
        <v>3</v>
      </c>
    </row>
    <row r="26" spans="2:11" x14ac:dyDescent="0.35">
      <c r="B26" s="335"/>
      <c r="C26" s="318"/>
      <c r="D26" s="336"/>
      <c r="E26" s="337"/>
      <c r="F26" s="149">
        <v>8.3448495370370371E-2</v>
      </c>
      <c r="G26" s="150">
        <v>1.4039351851851854E-4</v>
      </c>
      <c r="H26" s="151">
        <v>1.3472800925925926E-2</v>
      </c>
      <c r="I26" s="152">
        <v>1.3801041666666668E-2</v>
      </c>
      <c r="J26" s="153" t="s">
        <v>9</v>
      </c>
      <c r="K26" s="154">
        <v>3.6</v>
      </c>
    </row>
    <row r="27" spans="2:11" x14ac:dyDescent="0.35">
      <c r="B27" s="315">
        <v>7</v>
      </c>
      <c r="C27" s="306">
        <v>45981</v>
      </c>
      <c r="D27" s="320" t="s">
        <v>27</v>
      </c>
      <c r="E27" s="320" t="s">
        <v>59</v>
      </c>
      <c r="F27" s="274">
        <v>0.2268543287037037</v>
      </c>
      <c r="G27" s="113">
        <v>6.7442129629629631E-5</v>
      </c>
      <c r="H27" s="114">
        <v>2.7110381944444446E-2</v>
      </c>
      <c r="I27" s="112">
        <v>6.8249722222222226E-2</v>
      </c>
      <c r="J27" s="140" t="s">
        <v>9</v>
      </c>
      <c r="K27" s="258">
        <v>1.1342592592592593E-4</v>
      </c>
    </row>
    <row r="28" spans="2:11" x14ac:dyDescent="0.35">
      <c r="B28" s="315"/>
      <c r="C28" s="306"/>
      <c r="D28" s="320"/>
      <c r="E28" s="320"/>
      <c r="F28" s="136">
        <v>3.6227037037037037E-2</v>
      </c>
      <c r="G28" s="113">
        <v>6.7824074074074084E-5</v>
      </c>
      <c r="H28" s="114">
        <v>1.4050810185185185E-2</v>
      </c>
      <c r="I28" s="112">
        <v>1.4233530092592593E-2</v>
      </c>
      <c r="J28" s="140" t="s">
        <v>9</v>
      </c>
      <c r="K28" s="258">
        <v>1.8113425925925925E-5</v>
      </c>
    </row>
    <row r="29" spans="2:11" x14ac:dyDescent="0.35">
      <c r="B29" s="315"/>
      <c r="C29" s="306"/>
      <c r="D29" s="320"/>
      <c r="E29" s="320"/>
      <c r="F29" s="136">
        <v>0.22575501157407407</v>
      </c>
      <c r="G29" s="113">
        <v>9.6377314814814817E-5</v>
      </c>
      <c r="H29" s="114">
        <v>1.3211539351851853E-2</v>
      </c>
      <c r="I29" s="112">
        <v>6.8312152777777774E-2</v>
      </c>
      <c r="J29" s="140" t="s">
        <v>9</v>
      </c>
      <c r="K29" s="258">
        <v>1.1288194444444445E-4</v>
      </c>
    </row>
    <row r="30" spans="2:11" x14ac:dyDescent="0.35">
      <c r="B30" s="315"/>
      <c r="C30" s="306"/>
      <c r="D30" s="320"/>
      <c r="E30" s="320"/>
      <c r="F30" s="136">
        <v>0.2249122685185185</v>
      </c>
      <c r="G30" s="113">
        <v>1.0135416666666667E-4</v>
      </c>
      <c r="H30" s="114">
        <v>2.7099456018518518E-2</v>
      </c>
      <c r="I30" s="112">
        <v>6.8112997685185181E-2</v>
      </c>
      <c r="J30" s="140" t="s">
        <v>9</v>
      </c>
      <c r="K30" s="258">
        <v>1.124537037037037E-4</v>
      </c>
    </row>
    <row r="31" spans="2:11" x14ac:dyDescent="0.35">
      <c r="B31" s="315"/>
      <c r="C31" s="306"/>
      <c r="D31" s="320"/>
      <c r="E31" s="320"/>
      <c r="F31" s="136">
        <v>8.4014004629629629E-2</v>
      </c>
      <c r="G31" s="113">
        <v>2.9131944444444444E-5</v>
      </c>
      <c r="H31" s="114">
        <v>2.6788854166666664E-2</v>
      </c>
      <c r="I31" s="112">
        <v>3.9063425925925925E-2</v>
      </c>
      <c r="J31" s="140" t="s">
        <v>9</v>
      </c>
      <c r="K31" s="258">
        <v>4.2002314814814817E-5</v>
      </c>
    </row>
    <row r="32" spans="2:11" x14ac:dyDescent="0.35">
      <c r="B32" s="315"/>
      <c r="C32" s="306"/>
      <c r="D32" s="320"/>
      <c r="E32" s="320"/>
      <c r="F32" s="136">
        <v>0.12073121527777778</v>
      </c>
      <c r="G32" s="113">
        <v>6.5092592592592584E-5</v>
      </c>
      <c r="H32" s="114">
        <v>1.3747291666666668E-2</v>
      </c>
      <c r="I32" s="112">
        <v>3.7076967592592588E-2</v>
      </c>
      <c r="J32" s="140" t="s">
        <v>9</v>
      </c>
      <c r="K32" s="258">
        <v>6.0370370370370372E-5</v>
      </c>
    </row>
    <row r="33" spans="2:11" x14ac:dyDescent="0.35">
      <c r="B33" s="315"/>
      <c r="C33" s="306"/>
      <c r="D33" s="320"/>
      <c r="E33" s="320"/>
      <c r="F33" s="136">
        <v>8.2830393518518522E-2</v>
      </c>
      <c r="G33" s="113">
        <v>6.817129629629629E-5</v>
      </c>
      <c r="H33" s="114">
        <v>2.6801423611111111E-2</v>
      </c>
      <c r="I33" s="112">
        <v>3.877337962962963E-2</v>
      </c>
      <c r="J33" s="140" t="s">
        <v>9</v>
      </c>
      <c r="K33" s="258">
        <v>4.1412037037037034E-5</v>
      </c>
    </row>
    <row r="34" spans="2:11" x14ac:dyDescent="0.35">
      <c r="B34" s="315"/>
      <c r="C34" s="306"/>
      <c r="D34" s="320"/>
      <c r="E34" s="320"/>
      <c r="F34" s="136">
        <v>0.11983467592592593</v>
      </c>
      <c r="G34" s="113">
        <v>3.3645833333333336E-5</v>
      </c>
      <c r="H34" s="114">
        <v>1.3275266203703702E-2</v>
      </c>
      <c r="I34" s="112">
        <v>3.7168518518518517E-2</v>
      </c>
      <c r="J34" s="140" t="s">
        <v>9</v>
      </c>
      <c r="K34" s="258">
        <v>5.9918981481481474E-5</v>
      </c>
    </row>
    <row r="35" spans="2:11" x14ac:dyDescent="0.35">
      <c r="B35" s="315"/>
      <c r="C35" s="306"/>
      <c r="D35" s="320"/>
      <c r="E35" s="320"/>
      <c r="F35" s="136">
        <v>0.1541493402777778</v>
      </c>
      <c r="G35" s="113">
        <v>5.7442129629629632E-5</v>
      </c>
      <c r="H35" s="114">
        <v>2.8240393518518515E-2</v>
      </c>
      <c r="I35" s="112">
        <v>3.4999722222222224E-2</v>
      </c>
      <c r="J35" s="140" t="s">
        <v>9</v>
      </c>
      <c r="K35" s="258">
        <v>7.7071759259259259E-5</v>
      </c>
    </row>
    <row r="36" spans="2:11" x14ac:dyDescent="0.35">
      <c r="B36" s="331"/>
      <c r="C36" s="332"/>
      <c r="D36" s="333"/>
      <c r="E36" s="333"/>
      <c r="F36" s="136">
        <v>0.14720775462962962</v>
      </c>
      <c r="G36" s="248">
        <v>6.4270833333333335E-5</v>
      </c>
      <c r="H36" s="249">
        <v>2.8234756944444446E-2</v>
      </c>
      <c r="I36" s="250">
        <v>2.8353356481481483E-2</v>
      </c>
      <c r="J36" s="251" t="s">
        <v>9</v>
      </c>
      <c r="K36" s="265">
        <v>7.3599537037037031E-5</v>
      </c>
    </row>
    <row r="37" spans="2:11" x14ac:dyDescent="0.35">
      <c r="B37" s="314">
        <v>8</v>
      </c>
      <c r="C37" s="317">
        <v>45989</v>
      </c>
      <c r="D37" s="319" t="s">
        <v>27</v>
      </c>
      <c r="E37" s="322" t="s">
        <v>59</v>
      </c>
      <c r="F37" s="271">
        <v>4.9450034719484393E-2</v>
      </c>
      <c r="G37" s="256">
        <v>5.2812494686804712E-5</v>
      </c>
      <c r="H37" s="256">
        <v>1.4341087960929144E-2</v>
      </c>
      <c r="I37" s="257">
        <v>2.5648888884461485E-2</v>
      </c>
      <c r="J37" s="263" t="s">
        <v>9</v>
      </c>
      <c r="K37" s="271">
        <v>2.4725017359742195E-5</v>
      </c>
    </row>
    <row r="38" spans="2:11" x14ac:dyDescent="0.35">
      <c r="B38" s="315"/>
      <c r="C38" s="306"/>
      <c r="D38" s="320"/>
      <c r="E38" s="323"/>
      <c r="F38" s="266">
        <v>0.13141909722617129</v>
      </c>
      <c r="G38" s="252">
        <v>5.0196758820675313E-5</v>
      </c>
      <c r="H38" s="252">
        <v>1.5564351851935498E-2</v>
      </c>
      <c r="I38" s="255">
        <v>2.0083680552488659E-2</v>
      </c>
      <c r="J38" s="264" t="s">
        <v>9</v>
      </c>
      <c r="K38" s="259">
        <v>6.5709548613085642E-5</v>
      </c>
    </row>
    <row r="39" spans="2:11" x14ac:dyDescent="0.35">
      <c r="B39" s="315"/>
      <c r="C39" s="306"/>
      <c r="D39" s="320"/>
      <c r="E39" s="323"/>
      <c r="F39" s="267">
        <v>0.15119733796746004</v>
      </c>
      <c r="G39" s="253">
        <v>8.5486113675870001E-5</v>
      </c>
      <c r="H39" s="253">
        <v>1.4724571759870742E-2</v>
      </c>
      <c r="I39" s="254">
        <v>2.0262187499611173E-2</v>
      </c>
      <c r="J39" s="264" t="s">
        <v>9</v>
      </c>
      <c r="K39" s="259">
        <v>7.5598668983730015E-5</v>
      </c>
    </row>
    <row r="40" spans="2:11" x14ac:dyDescent="0.35">
      <c r="B40" s="315"/>
      <c r="C40" s="306"/>
      <c r="D40" s="320"/>
      <c r="E40" s="323"/>
      <c r="F40" s="266">
        <v>0.21109518517914694</v>
      </c>
      <c r="G40" s="252">
        <v>9.0462963271420449E-5</v>
      </c>
      <c r="H40" s="252">
        <v>1.5145173609198537E-2</v>
      </c>
      <c r="I40" s="255">
        <v>2.0037314810906537E-2</v>
      </c>
      <c r="J40" s="264" t="s">
        <v>9</v>
      </c>
      <c r="K40" s="259">
        <v>1.0554759258957346E-4</v>
      </c>
    </row>
    <row r="41" spans="2:11" x14ac:dyDescent="0.35">
      <c r="B41" s="315"/>
      <c r="C41" s="306"/>
      <c r="D41" s="320"/>
      <c r="E41" s="323"/>
      <c r="F41" s="266">
        <v>0.1907324421335943</v>
      </c>
      <c r="G41" s="252">
        <v>7.7118056651670486E-5</v>
      </c>
      <c r="H41" s="252">
        <v>1.4894016203470528E-2</v>
      </c>
      <c r="I41" s="255">
        <v>1.9951504626078531E-2</v>
      </c>
      <c r="J41" s="264" t="s">
        <v>9</v>
      </c>
      <c r="K41" s="259">
        <v>9.5366221066797146E-5</v>
      </c>
    </row>
    <row r="42" spans="2:11" x14ac:dyDescent="0.35">
      <c r="B42" s="315"/>
      <c r="C42" s="306"/>
      <c r="D42" s="320"/>
      <c r="E42" s="323"/>
      <c r="F42" s="266">
        <v>0.1703151273104595</v>
      </c>
      <c r="G42" s="252">
        <v>8.2986109191551805E-5</v>
      </c>
      <c r="H42" s="252">
        <v>1.5265046291460749E-2</v>
      </c>
      <c r="I42" s="255">
        <v>2.0238159719156101E-2</v>
      </c>
      <c r="J42" s="264" t="s">
        <v>9</v>
      </c>
      <c r="K42" s="259">
        <v>8.5157563655229748E-5</v>
      </c>
    </row>
    <row r="43" spans="2:11" x14ac:dyDescent="0.35">
      <c r="B43" s="315"/>
      <c r="C43" s="306"/>
      <c r="D43" s="320"/>
      <c r="E43" s="323"/>
      <c r="F43" s="266">
        <v>6.8638657401606906E-2</v>
      </c>
      <c r="G43" s="252">
        <v>3.6307865229900926E-5</v>
      </c>
      <c r="H43" s="252">
        <v>1.5402430552057922E-2</v>
      </c>
      <c r="I43" s="255">
        <v>2.1989074077282567E-2</v>
      </c>
      <c r="J43" s="264" t="s">
        <v>9</v>
      </c>
      <c r="K43" s="259">
        <v>3.4319328700803455E-5</v>
      </c>
    </row>
    <row r="44" spans="2:11" x14ac:dyDescent="0.35">
      <c r="B44" s="315"/>
      <c r="C44" s="306"/>
      <c r="D44" s="320"/>
      <c r="E44" s="323"/>
      <c r="F44" s="268">
        <v>0.22928619213053025</v>
      </c>
      <c r="G44" s="252">
        <v>7.468750118277967E-5</v>
      </c>
      <c r="H44" s="252">
        <v>1.5065312501974404E-2</v>
      </c>
      <c r="I44" s="255">
        <v>1.9999965275928844E-2</v>
      </c>
      <c r="J44" s="264" t="s">
        <v>9</v>
      </c>
      <c r="K44" s="260">
        <v>1.1464309606526512E-4</v>
      </c>
    </row>
    <row r="45" spans="2:11" x14ac:dyDescent="0.35">
      <c r="B45" s="315"/>
      <c r="C45" s="306"/>
      <c r="D45" s="320"/>
      <c r="E45" s="323"/>
      <c r="F45" s="266">
        <v>8.7965659724432044E-2</v>
      </c>
      <c r="G45" s="252">
        <v>6.7129629314877093E-5</v>
      </c>
      <c r="H45" s="252">
        <v>1.5745138887723442E-2</v>
      </c>
      <c r="I45" s="255">
        <v>2.0174421297269873E-2</v>
      </c>
      <c r="J45" s="264" t="s">
        <v>9</v>
      </c>
      <c r="K45" s="259">
        <v>4.3982829862216021E-5</v>
      </c>
    </row>
    <row r="46" spans="2:11" ht="15" thickBot="1" x14ac:dyDescent="0.4">
      <c r="B46" s="316"/>
      <c r="C46" s="318"/>
      <c r="D46" s="321"/>
      <c r="E46" s="324"/>
      <c r="F46" s="269">
        <v>0.10786917823861586</v>
      </c>
      <c r="G46" s="261">
        <v>4.6921297325752676E-5</v>
      </c>
      <c r="H46" s="261">
        <v>1.584370370983379E-2</v>
      </c>
      <c r="I46" s="262">
        <v>2.0037928239617031E-2</v>
      </c>
      <c r="J46" s="153" t="s">
        <v>9</v>
      </c>
      <c r="K46" s="270">
        <v>5.3934589119307931E-5</v>
      </c>
    </row>
    <row r="47" spans="2:11" ht="15" thickBot="1" x14ac:dyDescent="0.4">
      <c r="B47" s="314">
        <v>9</v>
      </c>
      <c r="C47" s="317">
        <v>45999</v>
      </c>
      <c r="D47" s="319" t="s">
        <v>27</v>
      </c>
      <c r="E47" s="322" t="s">
        <v>59</v>
      </c>
      <c r="F47" s="279">
        <v>3.3781018522859085E-2</v>
      </c>
      <c r="G47" s="270">
        <v>6.2615741626359522E-5</v>
      </c>
      <c r="H47" s="270">
        <v>1.1857361110742204E-2</v>
      </c>
      <c r="I47" s="270">
        <v>1.3023182866163552E-2</v>
      </c>
      <c r="J47" s="263" t="s">
        <v>9</v>
      </c>
      <c r="K47" s="280">
        <v>1.6890509261429541E-5</v>
      </c>
    </row>
    <row r="48" spans="2:11" ht="15" thickBot="1" x14ac:dyDescent="0.4">
      <c r="B48" s="315"/>
      <c r="C48" s="306"/>
      <c r="D48" s="320"/>
      <c r="E48" s="323"/>
      <c r="F48" s="267">
        <v>9.8855590273160487E-2</v>
      </c>
      <c r="G48" s="270">
        <v>1.1964120494667441E-4</v>
      </c>
      <c r="H48" s="270">
        <v>1.186600694200024E-2</v>
      </c>
      <c r="I48" s="270">
        <v>1.2972534721484408E-2</v>
      </c>
      <c r="J48" s="264" t="s">
        <v>9</v>
      </c>
      <c r="K48" s="270">
        <v>4.9427795136580242E-5</v>
      </c>
    </row>
    <row r="49" spans="2:11" ht="15" thickBot="1" x14ac:dyDescent="0.4">
      <c r="B49" s="315"/>
      <c r="C49" s="306"/>
      <c r="D49" s="320"/>
      <c r="E49" s="323"/>
      <c r="F49" s="267">
        <v>0.12517912037583301</v>
      </c>
      <c r="G49" s="270">
        <v>1.3572916213888675E-4</v>
      </c>
      <c r="H49" s="270">
        <v>7.1548148116562515E-3</v>
      </c>
      <c r="I49" s="270">
        <v>1.3173344908864237E-2</v>
      </c>
      <c r="J49" s="264" t="s">
        <v>9</v>
      </c>
      <c r="K49" s="270">
        <v>6.2589560187916501E-5</v>
      </c>
    </row>
    <row r="50" spans="2:11" ht="15" thickBot="1" x14ac:dyDescent="0.4">
      <c r="B50" s="315"/>
      <c r="C50" s="306"/>
      <c r="D50" s="320"/>
      <c r="E50" s="323"/>
      <c r="F50" s="267">
        <v>0.13745748843211913</v>
      </c>
      <c r="G50" s="270">
        <v>1.257638941751793E-4</v>
      </c>
      <c r="H50" s="270">
        <v>1.1800231484812684E-2</v>
      </c>
      <c r="I50" s="270">
        <v>1.2837152775318827E-2</v>
      </c>
      <c r="J50" s="264" t="s">
        <v>9</v>
      </c>
      <c r="K50" s="270">
        <v>6.872874421605957E-5</v>
      </c>
    </row>
    <row r="51" spans="2:11" ht="15" thickBot="1" x14ac:dyDescent="0.4">
      <c r="B51" s="315"/>
      <c r="C51" s="306"/>
      <c r="D51" s="320"/>
      <c r="E51" s="323"/>
      <c r="F51" s="282">
        <v>0.14985841434827307</v>
      </c>
      <c r="G51" s="270">
        <v>9.2905087512917817E-5</v>
      </c>
      <c r="H51" s="270">
        <v>1.2457291668397374E-2</v>
      </c>
      <c r="I51" s="270">
        <v>1.2926469913509209E-2</v>
      </c>
      <c r="J51" s="264" t="s">
        <v>9</v>
      </c>
      <c r="K51" s="281">
        <v>7.492920717413653E-5</v>
      </c>
    </row>
    <row r="52" spans="2:11" ht="15" thickBot="1" x14ac:dyDescent="0.4">
      <c r="B52" s="315"/>
      <c r="C52" s="306"/>
      <c r="D52" s="320"/>
      <c r="E52" s="323"/>
      <c r="F52" s="267">
        <v>0.10952010416804114</v>
      </c>
      <c r="G52" s="270">
        <v>7.7412581020325888E-2</v>
      </c>
      <c r="H52" s="270">
        <v>6.7751851893262938E-3</v>
      </c>
      <c r="I52" s="270">
        <v>5.0648144679144025E-5</v>
      </c>
      <c r="J52" s="264" t="s">
        <v>9</v>
      </c>
      <c r="K52" s="270">
        <v>5.4760052084020572E-5</v>
      </c>
    </row>
    <row r="53" spans="2:11" ht="15" thickBot="1" x14ac:dyDescent="0.4">
      <c r="B53" s="315"/>
      <c r="C53" s="306"/>
      <c r="D53" s="320"/>
      <c r="E53" s="323"/>
      <c r="F53" s="267">
        <v>4.3103437499667052E-2</v>
      </c>
      <c r="G53" s="270">
        <v>1.1072916822740808E-4</v>
      </c>
      <c r="H53" s="270">
        <v>1.2381284723232966E-2</v>
      </c>
      <c r="I53" s="270">
        <v>1.3009803238674067E-2</v>
      </c>
      <c r="J53" s="264" t="s">
        <v>9</v>
      </c>
      <c r="K53" s="270">
        <v>2.1551718749833526E-5</v>
      </c>
    </row>
    <row r="54" spans="2:11" ht="15" thickBot="1" x14ac:dyDescent="0.4">
      <c r="B54" s="315"/>
      <c r="C54" s="306"/>
      <c r="D54" s="320"/>
      <c r="E54" s="323"/>
      <c r="F54" s="267">
        <v>5.6339884256885853E-2</v>
      </c>
      <c r="G54" s="270">
        <v>1.1011573951691389E-4</v>
      </c>
      <c r="H54" s="270">
        <v>1.1871597227582242E-2</v>
      </c>
      <c r="I54" s="270">
        <v>1.3443784722767305E-2</v>
      </c>
      <c r="J54" s="264" t="s">
        <v>9</v>
      </c>
      <c r="K54" s="270">
        <v>2.8169942128442925E-5</v>
      </c>
    </row>
    <row r="55" spans="2:11" ht="15" thickBot="1" x14ac:dyDescent="0.4">
      <c r="B55" s="315"/>
      <c r="C55" s="306"/>
      <c r="D55" s="320"/>
      <c r="E55" s="323"/>
      <c r="F55" s="267">
        <v>8.1555405093240552E-2</v>
      </c>
      <c r="G55" s="270">
        <v>9.5069444796536118E-5</v>
      </c>
      <c r="H55" s="270">
        <v>1.2912384256196674E-2</v>
      </c>
      <c r="I55" s="270">
        <v>1.2733101852063555E-2</v>
      </c>
      <c r="J55" s="264" t="s">
        <v>9</v>
      </c>
      <c r="K55" s="270">
        <v>4.0777702546620278E-5</v>
      </c>
    </row>
    <row r="56" spans="2:11" ht="15" thickBot="1" x14ac:dyDescent="0.4">
      <c r="B56" s="316"/>
      <c r="C56" s="318"/>
      <c r="D56" s="321"/>
      <c r="E56" s="324"/>
      <c r="F56" s="267">
        <v>6.8555590281903278E-2</v>
      </c>
      <c r="G56" s="270">
        <v>1.1420138616813347E-4</v>
      </c>
      <c r="H56" s="270">
        <v>1.2840821756981313E-2</v>
      </c>
      <c r="I56" s="270">
        <v>1.293060184980277E-2</v>
      </c>
      <c r="J56" s="153" t="s">
        <v>9</v>
      </c>
      <c r="K56" s="270">
        <v>3.4277795140951641E-5</v>
      </c>
    </row>
    <row r="57" spans="2:11" x14ac:dyDescent="0.35">
      <c r="F57" s="285"/>
    </row>
  </sheetData>
  <mergeCells count="34">
    <mergeCell ref="B47:B56"/>
    <mergeCell ref="C47:C56"/>
    <mergeCell ref="D47:D56"/>
    <mergeCell ref="E47:E56"/>
    <mergeCell ref="K2:K3"/>
    <mergeCell ref="F3:J3"/>
    <mergeCell ref="B27:B36"/>
    <mergeCell ref="C27:C36"/>
    <mergeCell ref="D27:D36"/>
    <mergeCell ref="E27:E36"/>
    <mergeCell ref="E14:E23"/>
    <mergeCell ref="B24:B26"/>
    <mergeCell ref="C24:C26"/>
    <mergeCell ref="D24:D26"/>
    <mergeCell ref="E24:E26"/>
    <mergeCell ref="B2:B3"/>
    <mergeCell ref="C14:C23"/>
    <mergeCell ref="B37:B46"/>
    <mergeCell ref="C37:C46"/>
    <mergeCell ref="D37:D46"/>
    <mergeCell ref="E37:E46"/>
    <mergeCell ref="B14:B23"/>
    <mergeCell ref="D14:D23"/>
    <mergeCell ref="B11:B13"/>
    <mergeCell ref="C11:C13"/>
    <mergeCell ref="C2:C3"/>
    <mergeCell ref="D2:D3"/>
    <mergeCell ref="E2:E3"/>
    <mergeCell ref="E5:E9"/>
    <mergeCell ref="D11:D13"/>
    <mergeCell ref="E11:E13"/>
    <mergeCell ref="D5:D9"/>
    <mergeCell ref="C5:C9"/>
    <mergeCell ref="B5:B9"/>
  </mergeCells>
  <conditionalFormatting sqref="K4:K36">
    <cfRule type="cellIs" dxfId="1" priority="1" operator="greaterThan">
      <formula>5</formula>
    </cfRule>
    <cfRule type="cellIs" dxfId="0" priority="2" operator="between">
      <formula>0</formula>
      <formula>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478B-92C4-46BC-85EC-C105D71CCFE0}">
  <dimension ref="B3:G15"/>
  <sheetViews>
    <sheetView zoomScale="80" zoomScaleNormal="80" workbookViewId="0">
      <selection activeCell="B15" sqref="B15"/>
    </sheetView>
  </sheetViews>
  <sheetFormatPr defaultColWidth="8.7265625" defaultRowHeight="14.5" x14ac:dyDescent="0.35"/>
  <cols>
    <col min="1" max="1" width="8.7265625" style="1"/>
    <col min="2" max="2" width="33.26953125" style="1" customWidth="1"/>
    <col min="3" max="3" width="26.54296875" style="1" customWidth="1"/>
    <col min="4" max="4" width="25.81640625" style="1" bestFit="1" customWidth="1"/>
    <col min="5" max="5" width="26.1796875" style="1" customWidth="1"/>
    <col min="6" max="7" width="26.453125" style="1" bestFit="1" customWidth="1"/>
    <col min="8" max="16384" width="8.7265625" style="1"/>
  </cols>
  <sheetData>
    <row r="3" spans="2:7" ht="69.75" customHeight="1" x14ac:dyDescent="0.35">
      <c r="B3" s="6" t="s">
        <v>60</v>
      </c>
      <c r="C3" s="3" t="s">
        <v>61</v>
      </c>
      <c r="D3" s="3" t="s">
        <v>62</v>
      </c>
      <c r="E3" s="3" t="s">
        <v>63</v>
      </c>
      <c r="F3" s="3" t="s">
        <v>64</v>
      </c>
      <c r="G3" s="3" t="s">
        <v>65</v>
      </c>
    </row>
    <row r="4" spans="2:7" x14ac:dyDescent="0.35">
      <c r="B4" s="4" t="s">
        <v>5</v>
      </c>
      <c r="C4" s="2" t="s">
        <v>66</v>
      </c>
      <c r="D4" s="2" t="s">
        <v>66</v>
      </c>
      <c r="E4" s="2" t="s">
        <v>66</v>
      </c>
      <c r="F4" s="2" t="s">
        <v>66</v>
      </c>
      <c r="G4" s="2" t="s">
        <v>66</v>
      </c>
    </row>
    <row r="5" spans="2:7" x14ac:dyDescent="0.35">
      <c r="B5" s="4" t="s">
        <v>67</v>
      </c>
      <c r="C5" s="340" t="s">
        <v>68</v>
      </c>
      <c r="D5" s="340"/>
      <c r="E5" s="340"/>
      <c r="F5" s="340"/>
      <c r="G5" s="340"/>
    </row>
    <row r="6" spans="2:7" x14ac:dyDescent="0.35">
      <c r="B6" s="7" t="s">
        <v>69</v>
      </c>
      <c r="C6" s="5">
        <v>2.8451388888888888E-3</v>
      </c>
      <c r="D6" s="5">
        <v>2.7488888888888888E-3</v>
      </c>
      <c r="E6" s="5">
        <v>3.0104166666666669E-3</v>
      </c>
      <c r="F6" s="5">
        <v>2.718912037037037E-3</v>
      </c>
      <c r="G6" s="5">
        <v>2.9050462962962962E-3</v>
      </c>
    </row>
    <row r="7" spans="2:7" x14ac:dyDescent="0.35">
      <c r="B7" s="9" t="s">
        <v>70</v>
      </c>
      <c r="C7" s="10">
        <v>3.5959837962962959E-3</v>
      </c>
      <c r="D7" s="10">
        <v>3.5873379629629632E-3</v>
      </c>
      <c r="E7" s="10">
        <v>3.5271990740740741E-3</v>
      </c>
      <c r="F7" s="10">
        <v>3.6261111111111112E-3</v>
      </c>
      <c r="G7" s="10">
        <v>3.5329861111111113E-3</v>
      </c>
    </row>
    <row r="8" spans="2:7" x14ac:dyDescent="0.35">
      <c r="B8" s="7" t="s">
        <v>71</v>
      </c>
      <c r="C8" s="8">
        <v>3.3314814814814817E-3</v>
      </c>
      <c r="D8" s="8">
        <v>7.8490787037037046E-2</v>
      </c>
      <c r="E8" s="8">
        <v>7.8910497685185182E-2</v>
      </c>
      <c r="F8" s="8">
        <v>3.3168634259259258E-3</v>
      </c>
      <c r="G8" s="8">
        <v>0.15593399305555555</v>
      </c>
    </row>
    <row r="9" spans="2:7" x14ac:dyDescent="0.35">
      <c r="B9" s="11" t="s">
        <v>72</v>
      </c>
      <c r="C9" s="12">
        <v>7.5510219907407403E-2</v>
      </c>
      <c r="D9" s="12">
        <v>7.7393124999999993E-2</v>
      </c>
      <c r="E9" s="12">
        <v>7.7878275462962956E-2</v>
      </c>
      <c r="F9" s="12">
        <v>7.5139386574074069E-2</v>
      </c>
      <c r="G9" s="12">
        <v>3.8686076388888886E-2</v>
      </c>
    </row>
    <row r="10" spans="2:7" x14ac:dyDescent="0.35">
      <c r="B10" s="7" t="s">
        <v>73</v>
      </c>
      <c r="C10" s="5">
        <v>8.7519675925925927E-4</v>
      </c>
      <c r="D10" s="5">
        <v>2.440625E-4</v>
      </c>
      <c r="E10" s="5">
        <v>1.8557685185185184E-2</v>
      </c>
      <c r="F10" s="5">
        <v>1.2500810185185186E-3</v>
      </c>
      <c r="G10" s="5">
        <v>3.2133449074074074E-3</v>
      </c>
    </row>
    <row r="11" spans="2:7" x14ac:dyDescent="0.35">
      <c r="B11" s="13" t="s">
        <v>74</v>
      </c>
      <c r="C11" s="14">
        <v>3.008252314814815E-2</v>
      </c>
      <c r="D11" s="14">
        <v>1.9033217592592595E-2</v>
      </c>
      <c r="E11" s="14">
        <v>1.7977696759259258E-2</v>
      </c>
      <c r="F11" s="14">
        <v>3.5072372685185184E-2</v>
      </c>
      <c r="G11" s="14">
        <v>1.7291631944444445E-2</v>
      </c>
    </row>
    <row r="12" spans="2:7" x14ac:dyDescent="0.35">
      <c r="B12" s="7" t="s">
        <v>75</v>
      </c>
      <c r="C12" s="5">
        <v>1.0682870370370371E-5</v>
      </c>
      <c r="D12" s="5">
        <v>5.9837962962962967E-6</v>
      </c>
      <c r="E12" s="5">
        <v>6.8634259259259257E-6</v>
      </c>
      <c r="F12" s="5">
        <v>6.4120370370370375E-6</v>
      </c>
      <c r="G12" s="5">
        <v>4.0046296296296296E-6</v>
      </c>
    </row>
    <row r="13" spans="2:7" x14ac:dyDescent="0.35">
      <c r="B13" s="15" t="s">
        <v>76</v>
      </c>
      <c r="C13" s="16">
        <v>2.2577546296296297E-4</v>
      </c>
      <c r="D13" s="16">
        <v>1.2981481481481481E-4</v>
      </c>
      <c r="E13" s="16">
        <v>8.2025462962962957E-5</v>
      </c>
      <c r="F13" s="16">
        <v>8.1898148148148149E-5</v>
      </c>
      <c r="G13" s="16">
        <v>7.7824074074074083E-5</v>
      </c>
    </row>
    <row r="14" spans="2:7" ht="29" x14ac:dyDescent="0.35">
      <c r="B14" s="60" t="s">
        <v>77</v>
      </c>
      <c r="C14" s="61">
        <v>0.11648869212962963</v>
      </c>
      <c r="D14" s="61">
        <v>0.18163685185185185</v>
      </c>
      <c r="E14" s="61">
        <v>0.19995543981481484</v>
      </c>
      <c r="F14" s="61">
        <v>0.12121516203703704</v>
      </c>
      <c r="G14" s="61">
        <v>0.22164351851851852</v>
      </c>
    </row>
    <row r="15" spans="2:7" x14ac:dyDescent="0.35">
      <c r="B15" s="87" t="s">
        <v>78</v>
      </c>
      <c r="C15" s="62" t="s">
        <v>79</v>
      </c>
      <c r="D15" s="68" t="s">
        <v>80</v>
      </c>
      <c r="E15" s="68">
        <v>8.6379999999999999</v>
      </c>
      <c r="F15" s="68">
        <v>5.2365000000000004</v>
      </c>
      <c r="G15" s="68">
        <v>9.5749999999999993</v>
      </c>
    </row>
  </sheetData>
  <mergeCells count="1">
    <mergeCell ref="C5:G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29295-0FA0-45BB-B560-C128EA949F07}">
  <dimension ref="B2:F39"/>
  <sheetViews>
    <sheetView topLeftCell="A7" zoomScale="80" zoomScaleNormal="80" workbookViewId="0">
      <selection activeCell="C7" sqref="C7:C9"/>
    </sheetView>
  </sheetViews>
  <sheetFormatPr defaultColWidth="8.7265625" defaultRowHeight="14.5" x14ac:dyDescent="0.35"/>
  <cols>
    <col min="1" max="1" width="8.7265625" style="1"/>
    <col min="2" max="2" width="41.453125" style="1" customWidth="1"/>
    <col min="3" max="3" width="33.26953125" style="1" customWidth="1"/>
    <col min="4" max="4" width="64.7265625" style="1" customWidth="1"/>
    <col min="5" max="5" width="16.81640625" style="1" customWidth="1"/>
    <col min="6" max="6" width="21.1796875" style="1" customWidth="1"/>
    <col min="7" max="16384" width="8.7265625" style="1"/>
  </cols>
  <sheetData>
    <row r="2" spans="2:6" ht="15" thickBot="1" x14ac:dyDescent="0.4"/>
    <row r="3" spans="2:6" x14ac:dyDescent="0.35">
      <c r="B3" s="25"/>
      <c r="C3" s="341" t="s">
        <v>81</v>
      </c>
      <c r="D3" s="24"/>
    </row>
    <row r="4" spans="2:6" ht="15" thickBot="1" x14ac:dyDescent="0.4">
      <c r="B4" s="26" t="s">
        <v>82</v>
      </c>
      <c r="C4" s="342"/>
      <c r="D4" s="24"/>
    </row>
    <row r="5" spans="2:6" ht="15" thickBot="1" x14ac:dyDescent="0.4">
      <c r="B5" s="27" t="s">
        <v>83</v>
      </c>
      <c r="C5" s="28">
        <v>7.5694444444444439E-2</v>
      </c>
      <c r="D5" s="29">
        <v>5.7638888888888887E-3</v>
      </c>
    </row>
    <row r="6" spans="2:6" ht="15" thickBot="1" x14ac:dyDescent="0.4">
      <c r="B6" s="30"/>
      <c r="C6" s="31"/>
      <c r="D6" s="32"/>
    </row>
    <row r="7" spans="2:6" ht="15" thickBot="1" x14ac:dyDescent="0.4">
      <c r="B7" s="33" t="s">
        <v>84</v>
      </c>
      <c r="C7" s="34">
        <v>3.5069444444444445E-3</v>
      </c>
      <c r="D7" s="34">
        <v>2.0949074074074073E-3</v>
      </c>
    </row>
    <row r="8" spans="2:6" ht="15" thickBot="1" x14ac:dyDescent="0.4">
      <c r="B8" s="35" t="s">
        <v>85</v>
      </c>
      <c r="C8" s="36">
        <v>4.8379629629629627E-2</v>
      </c>
      <c r="D8" s="36">
        <v>3.4375E-3</v>
      </c>
    </row>
    <row r="9" spans="2:6" ht="15" thickBot="1" x14ac:dyDescent="0.4">
      <c r="B9" s="37" t="s">
        <v>86</v>
      </c>
      <c r="C9" s="38">
        <v>1.804398148148148E-2</v>
      </c>
      <c r="D9" s="38">
        <v>2.3148148148148149E-4</v>
      </c>
    </row>
    <row r="11" spans="2:6" ht="15" thickBot="1" x14ac:dyDescent="0.4"/>
    <row r="12" spans="2:6" ht="15" customHeight="1" thickBot="1" x14ac:dyDescent="0.4">
      <c r="B12" s="17" t="s">
        <v>87</v>
      </c>
      <c r="C12" s="348" t="s">
        <v>88</v>
      </c>
      <c r="D12" s="349"/>
      <c r="E12" s="349"/>
      <c r="F12" s="350"/>
    </row>
    <row r="13" spans="2:6" ht="15" thickBot="1" x14ac:dyDescent="0.4">
      <c r="B13" s="18" t="s">
        <v>89</v>
      </c>
      <c r="C13" s="348" t="s">
        <v>90</v>
      </c>
      <c r="D13" s="349"/>
      <c r="E13" s="349"/>
      <c r="F13" s="350"/>
    </row>
    <row r="14" spans="2:6" ht="15" thickBot="1" x14ac:dyDescent="0.4">
      <c r="B14" s="351"/>
      <c r="C14" s="352"/>
      <c r="D14" s="352"/>
      <c r="E14" s="352"/>
      <c r="F14" s="353"/>
    </row>
    <row r="15" spans="2:6" ht="26.5" thickBot="1" x14ac:dyDescent="0.4">
      <c r="B15" s="19" t="s">
        <v>91</v>
      </c>
      <c r="C15" s="20" t="s">
        <v>92</v>
      </c>
      <c r="D15" s="20" t="s">
        <v>93</v>
      </c>
      <c r="E15" s="20" t="s">
        <v>94</v>
      </c>
      <c r="F15" s="20" t="s">
        <v>95</v>
      </c>
    </row>
    <row r="16" spans="2:6" ht="15" thickBot="1" x14ac:dyDescent="0.4">
      <c r="B16" s="18" t="s">
        <v>96</v>
      </c>
      <c r="C16" s="21" t="s">
        <v>97</v>
      </c>
      <c r="D16" s="21" t="s">
        <v>98</v>
      </c>
      <c r="E16" s="22">
        <v>1</v>
      </c>
      <c r="F16" s="23" t="s">
        <v>99</v>
      </c>
    </row>
    <row r="17" spans="2:6" ht="15" thickBot="1" x14ac:dyDescent="0.4">
      <c r="B17" s="343" t="s">
        <v>100</v>
      </c>
      <c r="C17" s="21" t="s">
        <v>101</v>
      </c>
      <c r="D17" s="23" t="s">
        <v>102</v>
      </c>
      <c r="E17" s="22">
        <v>2</v>
      </c>
      <c r="F17" s="23" t="s">
        <v>103</v>
      </c>
    </row>
    <row r="18" spans="2:6" ht="15" thickBot="1" x14ac:dyDescent="0.4">
      <c r="B18" s="344"/>
      <c r="C18" s="21" t="s">
        <v>101</v>
      </c>
      <c r="D18" s="23" t="s">
        <v>102</v>
      </c>
      <c r="E18" s="22">
        <v>3</v>
      </c>
      <c r="F18" s="23" t="s">
        <v>103</v>
      </c>
    </row>
    <row r="19" spans="2:6" ht="15" thickBot="1" x14ac:dyDescent="0.4">
      <c r="B19" s="344"/>
      <c r="C19" s="21" t="s">
        <v>104</v>
      </c>
      <c r="D19" s="23" t="s">
        <v>105</v>
      </c>
      <c r="E19" s="22">
        <v>2</v>
      </c>
      <c r="F19" s="23" t="s">
        <v>106</v>
      </c>
    </row>
    <row r="20" spans="2:6" ht="15" thickBot="1" x14ac:dyDescent="0.4">
      <c r="B20" s="345"/>
      <c r="C20" s="21" t="s">
        <v>104</v>
      </c>
      <c r="D20" s="23" t="s">
        <v>105</v>
      </c>
      <c r="E20" s="22">
        <v>3</v>
      </c>
      <c r="F20" s="23" t="s">
        <v>106</v>
      </c>
    </row>
    <row r="21" spans="2:6" ht="15" thickBot="1" x14ac:dyDescent="0.4">
      <c r="B21" s="343" t="s">
        <v>107</v>
      </c>
      <c r="C21" s="21" t="s">
        <v>108</v>
      </c>
      <c r="D21" s="21" t="s">
        <v>109</v>
      </c>
      <c r="E21" s="22">
        <v>2</v>
      </c>
      <c r="F21" s="23" t="s">
        <v>110</v>
      </c>
    </row>
    <row r="22" spans="2:6" ht="15" thickBot="1" x14ac:dyDescent="0.4">
      <c r="B22" s="345"/>
      <c r="C22" s="21" t="s">
        <v>108</v>
      </c>
      <c r="D22" s="21" t="s">
        <v>109</v>
      </c>
      <c r="E22" s="22">
        <v>3</v>
      </c>
      <c r="F22" s="23" t="s">
        <v>111</v>
      </c>
    </row>
    <row r="23" spans="2:6" ht="15" thickBot="1" x14ac:dyDescent="0.4">
      <c r="B23" s="343" t="s">
        <v>112</v>
      </c>
      <c r="C23" s="21" t="s">
        <v>113</v>
      </c>
      <c r="D23" s="21" t="s">
        <v>114</v>
      </c>
      <c r="E23" s="22">
        <v>2</v>
      </c>
      <c r="F23" s="23" t="s">
        <v>115</v>
      </c>
    </row>
    <row r="24" spans="2:6" ht="15" thickBot="1" x14ac:dyDescent="0.4">
      <c r="B24" s="344"/>
      <c r="C24" s="21" t="s">
        <v>116</v>
      </c>
      <c r="D24" s="21" t="s">
        <v>117</v>
      </c>
      <c r="E24" s="22">
        <v>2</v>
      </c>
      <c r="F24" s="23" t="s">
        <v>118</v>
      </c>
    </row>
    <row r="25" spans="2:6" ht="15" thickBot="1" x14ac:dyDescent="0.4">
      <c r="B25" s="344"/>
      <c r="C25" s="21" t="s">
        <v>116</v>
      </c>
      <c r="D25" s="21" t="s">
        <v>117</v>
      </c>
      <c r="E25" s="22">
        <v>12</v>
      </c>
      <c r="F25" s="23" t="s">
        <v>118</v>
      </c>
    </row>
    <row r="26" spans="2:6" ht="15" thickBot="1" x14ac:dyDescent="0.4">
      <c r="B26" s="344"/>
      <c r="C26" s="21" t="s">
        <v>116</v>
      </c>
      <c r="D26" s="21" t="s">
        <v>119</v>
      </c>
      <c r="E26" s="22">
        <v>2</v>
      </c>
      <c r="F26" s="23" t="s">
        <v>118</v>
      </c>
    </row>
    <row r="27" spans="2:6" ht="15" thickBot="1" x14ac:dyDescent="0.4">
      <c r="B27" s="345"/>
      <c r="C27" s="21" t="s">
        <v>116</v>
      </c>
      <c r="D27" s="21" t="s">
        <v>119</v>
      </c>
      <c r="E27" s="22">
        <v>12</v>
      </c>
      <c r="F27" s="23" t="s">
        <v>118</v>
      </c>
    </row>
    <row r="28" spans="2:6" ht="15" thickBot="1" x14ac:dyDescent="0.4">
      <c r="B28" s="343" t="s">
        <v>120</v>
      </c>
      <c r="C28" s="21" t="s">
        <v>113</v>
      </c>
      <c r="D28" s="21" t="s">
        <v>114</v>
      </c>
      <c r="E28" s="22">
        <v>4</v>
      </c>
      <c r="F28" s="23" t="s">
        <v>118</v>
      </c>
    </row>
    <row r="29" spans="2:6" ht="15" thickBot="1" x14ac:dyDescent="0.4">
      <c r="B29" s="344"/>
      <c r="C29" s="21" t="s">
        <v>113</v>
      </c>
      <c r="D29" s="21" t="s">
        <v>114</v>
      </c>
      <c r="E29" s="22">
        <v>2</v>
      </c>
      <c r="F29" s="23" t="s">
        <v>118</v>
      </c>
    </row>
    <row r="30" spans="2:6" ht="15" thickBot="1" x14ac:dyDescent="0.4">
      <c r="B30" s="344"/>
      <c r="C30" s="21" t="s">
        <v>116</v>
      </c>
      <c r="D30" s="21" t="s">
        <v>117</v>
      </c>
      <c r="E30" s="22">
        <v>2</v>
      </c>
      <c r="F30" s="23" t="s">
        <v>118</v>
      </c>
    </row>
    <row r="31" spans="2:6" ht="15" thickBot="1" x14ac:dyDescent="0.4">
      <c r="B31" s="344"/>
      <c r="C31" s="21" t="s">
        <v>116</v>
      </c>
      <c r="D31" s="21" t="s">
        <v>117</v>
      </c>
      <c r="E31" s="22">
        <v>12</v>
      </c>
      <c r="F31" s="23" t="s">
        <v>118</v>
      </c>
    </row>
    <row r="32" spans="2:6" ht="15" thickBot="1" x14ac:dyDescent="0.4">
      <c r="B32" s="344"/>
      <c r="C32" s="21" t="s">
        <v>116</v>
      </c>
      <c r="D32" s="21" t="s">
        <v>119</v>
      </c>
      <c r="E32" s="22">
        <v>2</v>
      </c>
      <c r="F32" s="23" t="s">
        <v>118</v>
      </c>
    </row>
    <row r="33" spans="2:6" ht="15" thickBot="1" x14ac:dyDescent="0.4">
      <c r="B33" s="345"/>
      <c r="C33" s="21" t="s">
        <v>116</v>
      </c>
      <c r="D33" s="21" t="s">
        <v>119</v>
      </c>
      <c r="E33" s="22">
        <v>12</v>
      </c>
      <c r="F33" s="23" t="s">
        <v>118</v>
      </c>
    </row>
    <row r="34" spans="2:6" x14ac:dyDescent="0.35">
      <c r="B34" s="343" t="s">
        <v>121</v>
      </c>
      <c r="C34" s="346" t="s">
        <v>113</v>
      </c>
      <c r="D34" s="346" t="s">
        <v>114</v>
      </c>
      <c r="E34" s="364">
        <v>3</v>
      </c>
      <c r="F34" s="343" t="s">
        <v>118</v>
      </c>
    </row>
    <row r="35" spans="2:6" ht="15" thickBot="1" x14ac:dyDescent="0.4">
      <c r="B35" s="345"/>
      <c r="C35" s="347"/>
      <c r="D35" s="347"/>
      <c r="E35" s="365"/>
      <c r="F35" s="345"/>
    </row>
    <row r="36" spans="2:6" x14ac:dyDescent="0.35">
      <c r="B36" s="343" t="s">
        <v>122</v>
      </c>
      <c r="C36" s="356" t="s">
        <v>123</v>
      </c>
      <c r="D36" s="358" t="s">
        <v>124</v>
      </c>
      <c r="E36" s="359"/>
      <c r="F36" s="360"/>
    </row>
    <row r="37" spans="2:6" x14ac:dyDescent="0.35">
      <c r="B37" s="345"/>
      <c r="C37" s="357"/>
      <c r="D37" s="361"/>
      <c r="E37" s="362"/>
      <c r="F37" s="363"/>
    </row>
    <row r="38" spans="2:6" x14ac:dyDescent="0.35">
      <c r="C38" s="366" t="s">
        <v>125</v>
      </c>
      <c r="D38" s="354" t="s">
        <v>126</v>
      </c>
    </row>
    <row r="39" spans="2:6" x14ac:dyDescent="0.35">
      <c r="C39" s="366"/>
      <c r="D39" s="355"/>
    </row>
  </sheetData>
  <mergeCells count="18">
    <mergeCell ref="D38:D39"/>
    <mergeCell ref="B36:B37"/>
    <mergeCell ref="C36:C37"/>
    <mergeCell ref="D36:F37"/>
    <mergeCell ref="E34:E35"/>
    <mergeCell ref="F34:F35"/>
    <mergeCell ref="C38:C39"/>
    <mergeCell ref="C3:C4"/>
    <mergeCell ref="B28:B33"/>
    <mergeCell ref="B34:B35"/>
    <mergeCell ref="C34:C35"/>
    <mergeCell ref="D34:D35"/>
    <mergeCell ref="C12:F12"/>
    <mergeCell ref="C13:F13"/>
    <mergeCell ref="B14:F14"/>
    <mergeCell ref="B17:B20"/>
    <mergeCell ref="B21:B22"/>
    <mergeCell ref="B23:B2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3349D-0067-49BE-BE75-E47F8CCA6BCB}">
  <dimension ref="A1:C14"/>
  <sheetViews>
    <sheetView workbookViewId="0">
      <selection activeCell="E13" sqref="E13"/>
    </sheetView>
  </sheetViews>
  <sheetFormatPr defaultRowHeight="14.5" x14ac:dyDescent="0.35"/>
  <cols>
    <col min="1" max="1" width="32" customWidth="1"/>
    <col min="2" max="2" width="42.26953125" customWidth="1"/>
    <col min="3" max="3" width="44.453125" customWidth="1"/>
  </cols>
  <sheetData>
    <row r="1" spans="1:3" ht="78" customHeight="1" x14ac:dyDescent="0.35">
      <c r="A1" s="63"/>
      <c r="B1" s="68" t="s">
        <v>127</v>
      </c>
      <c r="C1" s="68" t="s">
        <v>128</v>
      </c>
    </row>
    <row r="2" spans="1:3" ht="29" x14ac:dyDescent="0.35">
      <c r="A2" s="64" t="s">
        <v>129</v>
      </c>
      <c r="B2" s="64" t="s">
        <v>130</v>
      </c>
      <c r="C2" s="64" t="s">
        <v>131</v>
      </c>
    </row>
    <row r="3" spans="1:3" x14ac:dyDescent="0.35">
      <c r="A3" s="66" t="s">
        <v>5</v>
      </c>
      <c r="B3" s="67" t="s">
        <v>66</v>
      </c>
      <c r="C3" s="67" t="s">
        <v>66</v>
      </c>
    </row>
    <row r="4" spans="1:3" x14ac:dyDescent="0.35">
      <c r="A4" s="90" t="s">
        <v>67</v>
      </c>
      <c r="B4" s="94"/>
      <c r="C4" s="94"/>
    </row>
    <row r="5" spans="1:3" x14ac:dyDescent="0.35">
      <c r="A5" s="103" t="s">
        <v>132</v>
      </c>
      <c r="B5" s="91">
        <v>2.0756134254042991E-3</v>
      </c>
      <c r="C5" s="91">
        <v>2.1851851488463581E-4</v>
      </c>
    </row>
    <row r="6" spans="1:3" x14ac:dyDescent="0.35">
      <c r="A6" s="98" t="s">
        <v>133</v>
      </c>
      <c r="B6" s="99">
        <v>3.5077199136139825E-3</v>
      </c>
      <c r="C6" s="99">
        <v>3.5166666712029837E-3</v>
      </c>
    </row>
    <row r="7" spans="1:3" x14ac:dyDescent="0.35">
      <c r="A7" s="103" t="s">
        <v>132</v>
      </c>
      <c r="B7" s="65">
        <v>3.4371527726761997E-3</v>
      </c>
      <c r="C7" s="65">
        <v>3.4293981443624943E-3</v>
      </c>
    </row>
    <row r="8" spans="1:3" x14ac:dyDescent="0.35">
      <c r="A8" s="66" t="s">
        <v>134</v>
      </c>
      <c r="B8" s="96">
        <v>4.8377847226220183E-2</v>
      </c>
      <c r="C8" s="96">
        <v>3.6496574073680677E-2</v>
      </c>
    </row>
    <row r="9" spans="1:3" x14ac:dyDescent="0.35">
      <c r="A9" s="103" t="s">
        <v>132</v>
      </c>
      <c r="B9" s="65">
        <v>2.3248842626344413E-4</v>
      </c>
      <c r="C9" s="65">
        <v>1.7103703721659258E-3</v>
      </c>
    </row>
    <row r="10" spans="1:3" x14ac:dyDescent="0.35">
      <c r="A10" s="92" t="s">
        <v>135</v>
      </c>
      <c r="B10" s="95">
        <v>1.7904513886605855E-2</v>
      </c>
      <c r="C10" s="95">
        <v>1.6856944443134125E-2</v>
      </c>
    </row>
    <row r="11" spans="1:3" x14ac:dyDescent="0.35">
      <c r="A11" s="103" t="s">
        <v>132</v>
      </c>
      <c r="B11" s="65">
        <v>4.8611109377816319E-6</v>
      </c>
      <c r="C11" s="93"/>
    </row>
    <row r="12" spans="1:3" x14ac:dyDescent="0.35">
      <c r="A12" s="100" t="s">
        <v>136</v>
      </c>
      <c r="B12" s="101">
        <v>9.1400463134050369E-5</v>
      </c>
      <c r="C12" s="102"/>
    </row>
    <row r="13" spans="1:3" ht="29" x14ac:dyDescent="0.35">
      <c r="A13" s="68" t="s">
        <v>137</v>
      </c>
      <c r="B13" s="97">
        <v>7.5671296296296292E-2</v>
      </c>
      <c r="C13" s="97">
        <v>6.2233796296296294E-2</v>
      </c>
    </row>
    <row r="14" spans="1:3" x14ac:dyDescent="0.35">
      <c r="A14" s="62" t="s">
        <v>138</v>
      </c>
      <c r="B14" s="62" t="s">
        <v>139</v>
      </c>
      <c r="C14" s="62" t="s">
        <v>140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DC26F-3D7B-4F77-B435-83FC0E27D273}">
  <dimension ref="B2:E15"/>
  <sheetViews>
    <sheetView workbookViewId="0">
      <selection activeCell="B2" sqref="B2:E14"/>
    </sheetView>
  </sheetViews>
  <sheetFormatPr defaultRowHeight="14.5" x14ac:dyDescent="0.35"/>
  <cols>
    <col min="1" max="1" width="2" customWidth="1"/>
    <col min="2" max="2" width="37.54296875" bestFit="1" customWidth="1"/>
    <col min="3" max="3" width="40.453125" customWidth="1"/>
    <col min="4" max="4" width="44" customWidth="1"/>
    <col min="5" max="5" width="41.1796875" customWidth="1"/>
  </cols>
  <sheetData>
    <row r="2" spans="2:5" ht="80.25" customHeight="1" x14ac:dyDescent="0.35">
      <c r="B2" s="69" t="s">
        <v>141</v>
      </c>
      <c r="C2" s="3" t="s">
        <v>142</v>
      </c>
      <c r="D2" s="3" t="s">
        <v>143</v>
      </c>
      <c r="E2" s="3" t="s">
        <v>144</v>
      </c>
    </row>
    <row r="3" spans="2:5" x14ac:dyDescent="0.35">
      <c r="B3" s="80" t="s">
        <v>5</v>
      </c>
      <c r="C3" s="104" t="s">
        <v>145</v>
      </c>
      <c r="D3" s="104" t="s">
        <v>146</v>
      </c>
      <c r="E3" s="104" t="s">
        <v>147</v>
      </c>
    </row>
    <row r="4" spans="2:5" x14ac:dyDescent="0.35">
      <c r="B4" s="70" t="s">
        <v>67</v>
      </c>
      <c r="C4" s="367" t="s">
        <v>68</v>
      </c>
      <c r="D4" s="367"/>
      <c r="E4" s="367"/>
    </row>
    <row r="5" spans="2:5" x14ac:dyDescent="0.35">
      <c r="B5" s="71" t="s">
        <v>69</v>
      </c>
      <c r="C5" s="72">
        <v>2.6336805555555558E-3</v>
      </c>
      <c r="D5" s="72">
        <v>2.8407407407407407E-4</v>
      </c>
      <c r="E5" s="72">
        <v>6.7726851851851845E-4</v>
      </c>
    </row>
    <row r="6" spans="2:5" x14ac:dyDescent="0.35">
      <c r="B6" s="73" t="s">
        <v>70</v>
      </c>
      <c r="C6" s="74">
        <v>3.5049421296296296E-3</v>
      </c>
      <c r="D6" s="74">
        <v>3.5204398148148148E-3</v>
      </c>
      <c r="E6" s="74">
        <v>3.5142013888888892E-3</v>
      </c>
    </row>
    <row r="7" spans="2:5" x14ac:dyDescent="0.35">
      <c r="B7" s="71" t="s">
        <v>71</v>
      </c>
      <c r="C7" s="75">
        <v>6.3864270833333334E-2</v>
      </c>
      <c r="D7" s="75">
        <v>3.4249652777777781E-3</v>
      </c>
      <c r="E7" s="75">
        <v>3.422337962962963E-3</v>
      </c>
    </row>
    <row r="8" spans="2:5" x14ac:dyDescent="0.35">
      <c r="B8" s="76" t="s">
        <v>72</v>
      </c>
      <c r="C8" s="77">
        <v>5.6649652777777774E-2</v>
      </c>
      <c r="D8" s="77">
        <v>7.7781562499999998E-2</v>
      </c>
      <c r="E8" s="77">
        <v>7.7771145833333333E-2</v>
      </c>
    </row>
    <row r="9" spans="2:5" x14ac:dyDescent="0.35">
      <c r="B9" s="71" t="s">
        <v>73</v>
      </c>
      <c r="C9" s="72">
        <v>1.9591516203703706E-2</v>
      </c>
      <c r="D9" s="72">
        <v>2.079583333333333E-3</v>
      </c>
      <c r="E9" s="72">
        <v>2.0878819444444443E-3</v>
      </c>
    </row>
    <row r="10" spans="2:5" x14ac:dyDescent="0.35">
      <c r="B10" s="78" t="s">
        <v>74</v>
      </c>
      <c r="C10" s="79">
        <v>1.7167013888888888E-2</v>
      </c>
      <c r="D10" s="79">
        <v>7.4090590277777771E-2</v>
      </c>
      <c r="E10" s="79">
        <v>7.4148958333333334E-2</v>
      </c>
    </row>
    <row r="11" spans="2:5" x14ac:dyDescent="0.35">
      <c r="B11" s="71" t="s">
        <v>75</v>
      </c>
      <c r="C11" s="72"/>
      <c r="D11" s="72"/>
      <c r="E11" s="72"/>
    </row>
    <row r="12" spans="2:5" x14ac:dyDescent="0.35">
      <c r="B12" s="80" t="s">
        <v>76</v>
      </c>
      <c r="C12" s="81"/>
      <c r="D12" s="81"/>
      <c r="E12" s="81"/>
    </row>
    <row r="13" spans="2:5" x14ac:dyDescent="0.35">
      <c r="B13" s="82" t="s">
        <v>77</v>
      </c>
      <c r="C13" s="83">
        <v>0.16341473379629629</v>
      </c>
      <c r="D13" s="83">
        <v>0.16118769675925926</v>
      </c>
      <c r="E13" s="83">
        <v>0.16162969907407407</v>
      </c>
    </row>
    <row r="14" spans="2:5" x14ac:dyDescent="0.35">
      <c r="B14" s="80" t="s">
        <v>138</v>
      </c>
      <c r="C14" s="84" t="s">
        <v>148</v>
      </c>
      <c r="D14" s="86" t="s">
        <v>149</v>
      </c>
      <c r="E14" s="85" t="s">
        <v>150</v>
      </c>
    </row>
    <row r="15" spans="2:5" x14ac:dyDescent="0.35">
      <c r="C15" s="88"/>
      <c r="D15" s="88"/>
      <c r="E15" s="88"/>
    </row>
  </sheetData>
  <mergeCells count="1">
    <mergeCell ref="C4:E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9248B-4317-477B-A615-9BE1ED152CFB}">
  <dimension ref="A2:K14"/>
  <sheetViews>
    <sheetView workbookViewId="0">
      <selection activeCell="B6" sqref="B6"/>
    </sheetView>
  </sheetViews>
  <sheetFormatPr defaultRowHeight="14.5" x14ac:dyDescent="0.35"/>
  <cols>
    <col min="1" max="1" width="36" customWidth="1"/>
    <col min="2" max="2" width="38" customWidth="1"/>
    <col min="3" max="3" width="37.54296875" customWidth="1"/>
    <col min="4" max="10" width="39.26953125" customWidth="1"/>
    <col min="11" max="11" width="41.81640625" customWidth="1"/>
  </cols>
  <sheetData>
    <row r="2" spans="1:11" ht="78.75" customHeight="1" x14ac:dyDescent="0.35">
      <c r="A2" s="115" t="s">
        <v>151</v>
      </c>
      <c r="B2" s="116" t="s">
        <v>152</v>
      </c>
      <c r="C2" s="116" t="s">
        <v>153</v>
      </c>
      <c r="D2" s="116" t="s">
        <v>154</v>
      </c>
      <c r="E2" s="116" t="s">
        <v>155</v>
      </c>
      <c r="F2" s="116" t="s">
        <v>156</v>
      </c>
      <c r="G2" s="116" t="s">
        <v>157</v>
      </c>
      <c r="H2" s="116" t="s">
        <v>158</v>
      </c>
      <c r="I2" s="116" t="s">
        <v>159</v>
      </c>
      <c r="J2" s="116" t="s">
        <v>160</v>
      </c>
      <c r="K2" s="116" t="s">
        <v>161</v>
      </c>
    </row>
    <row r="3" spans="1:11" x14ac:dyDescent="0.35">
      <c r="A3" s="117" t="s">
        <v>5</v>
      </c>
      <c r="B3" s="118" t="s">
        <v>162</v>
      </c>
      <c r="C3" s="118" t="s">
        <v>162</v>
      </c>
      <c r="D3" s="118" t="s">
        <v>162</v>
      </c>
      <c r="E3" s="118" t="s">
        <v>162</v>
      </c>
      <c r="F3" s="118" t="s">
        <v>162</v>
      </c>
      <c r="G3" s="118" t="s">
        <v>162</v>
      </c>
      <c r="H3" s="118" t="s">
        <v>162</v>
      </c>
      <c r="I3" s="118" t="s">
        <v>162</v>
      </c>
      <c r="J3" s="118" t="s">
        <v>162</v>
      </c>
      <c r="K3" s="118" t="s">
        <v>162</v>
      </c>
    </row>
    <row r="4" spans="1:11" x14ac:dyDescent="0.35">
      <c r="A4" s="119" t="s">
        <v>67</v>
      </c>
      <c r="B4" s="368" t="s">
        <v>68</v>
      </c>
      <c r="C4" s="368"/>
      <c r="D4" s="368"/>
      <c r="E4" s="368"/>
      <c r="F4" s="368"/>
      <c r="G4" s="368"/>
      <c r="H4" s="368"/>
      <c r="I4" s="368"/>
      <c r="J4" s="368"/>
      <c r="K4" s="368"/>
    </row>
    <row r="5" spans="1:11" x14ac:dyDescent="0.35">
      <c r="A5" s="120" t="s">
        <v>69</v>
      </c>
      <c r="B5" s="121">
        <v>3.3435532407407407E-3</v>
      </c>
      <c r="C5" s="121">
        <v>2.7692939814814815E-3</v>
      </c>
      <c r="D5" s="121">
        <v>2.2167129629629629E-3</v>
      </c>
      <c r="E5" s="121">
        <v>8.8758101851851845E-4</v>
      </c>
      <c r="F5" s="121">
        <v>6.4467592592592596E-5</v>
      </c>
      <c r="G5" s="121">
        <v>2.5449074074074072E-3</v>
      </c>
      <c r="H5" s="121">
        <v>1.5484143518518516E-3</v>
      </c>
      <c r="I5" s="121">
        <v>1.3526620370370369E-4</v>
      </c>
      <c r="J5" s="121">
        <v>2.5693287037037039E-3</v>
      </c>
      <c r="K5" s="121">
        <v>2.3577199074074073E-3</v>
      </c>
    </row>
    <row r="6" spans="1:11" x14ac:dyDescent="0.35">
      <c r="A6" s="122" t="s">
        <v>70</v>
      </c>
      <c r="B6" s="113">
        <v>4.7997685185185189E-5</v>
      </c>
      <c r="C6" s="113">
        <v>1.0802083333333334E-4</v>
      </c>
      <c r="D6" s="113">
        <v>1.0585648148148149E-4</v>
      </c>
      <c r="E6" s="113">
        <v>1.1535879629629631E-4</v>
      </c>
      <c r="F6" s="113">
        <v>1.2192129629629631E-4</v>
      </c>
      <c r="G6" s="113">
        <v>2.9560185185185188E-5</v>
      </c>
      <c r="H6" s="113">
        <v>7.0370370370370365E-5</v>
      </c>
      <c r="I6" s="113">
        <v>6.631944444444445E-5</v>
      </c>
      <c r="J6" s="113">
        <v>7.0567129629629639E-5</v>
      </c>
      <c r="K6" s="113">
        <v>7.33449074074074E-5</v>
      </c>
    </row>
    <row r="7" spans="1:11" x14ac:dyDescent="0.35">
      <c r="A7" s="120" t="s">
        <v>71</v>
      </c>
      <c r="B7" s="123">
        <v>3.1992708333333335E-3</v>
      </c>
      <c r="C7" s="123">
        <v>9.2943553240740745E-2</v>
      </c>
      <c r="D7" s="123">
        <v>0.10766972222222224</v>
      </c>
      <c r="E7" s="123">
        <v>0.12237445601851853</v>
      </c>
      <c r="F7" s="123">
        <v>0.13765755787037037</v>
      </c>
      <c r="G7" s="123">
        <v>4.5771678240740736E-2</v>
      </c>
      <c r="H7" s="123">
        <v>6.0270914351851855E-2</v>
      </c>
      <c r="I7" s="123">
        <v>7.4964386574074074E-2</v>
      </c>
      <c r="J7" s="123">
        <v>2.6705902777777776E-2</v>
      </c>
      <c r="K7" s="123">
        <v>1.0909907407407408E-2</v>
      </c>
    </row>
    <row r="8" spans="1:11" x14ac:dyDescent="0.35">
      <c r="A8" s="124" t="s">
        <v>72</v>
      </c>
      <c r="B8" s="114">
        <v>1.443587962962963E-2</v>
      </c>
      <c r="C8" s="114">
        <v>1.4716018518518517E-2</v>
      </c>
      <c r="D8" s="114">
        <v>1.4590509259259258E-2</v>
      </c>
      <c r="E8" s="114">
        <v>1.5274386574074076E-2</v>
      </c>
      <c r="F8" s="114">
        <v>1.4720717592592591E-2</v>
      </c>
      <c r="G8" s="114">
        <v>1.4458333333333333E-2</v>
      </c>
      <c r="H8" s="114">
        <v>1.4678969907407406E-2</v>
      </c>
      <c r="I8" s="114">
        <v>1.4652581018518518E-2</v>
      </c>
      <c r="J8" s="114">
        <v>1.5608020833333331E-2</v>
      </c>
      <c r="K8" s="114">
        <v>1.5783842592592592E-2</v>
      </c>
    </row>
    <row r="9" spans="1:11" x14ac:dyDescent="0.35">
      <c r="A9" s="120" t="s">
        <v>73</v>
      </c>
      <c r="B9" s="121">
        <v>2.9166203703703706E-3</v>
      </c>
      <c r="C9" s="121">
        <v>8.1103009259259253E-3</v>
      </c>
      <c r="D9" s="121">
        <v>9.6444444444444433E-3</v>
      </c>
      <c r="E9" s="121">
        <v>1.1662106481481482E-2</v>
      </c>
      <c r="F9" s="121">
        <v>1.3802002314814814E-2</v>
      </c>
      <c r="G9" s="121">
        <v>4.5078703703703704E-3</v>
      </c>
      <c r="H9" s="121">
        <v>5.7728819444444442E-3</v>
      </c>
      <c r="I9" s="121">
        <v>7.1908564814814812E-3</v>
      </c>
      <c r="J9" s="121">
        <v>3.8026967592592591E-3</v>
      </c>
      <c r="K9" s="121">
        <v>3.4192476851851853E-3</v>
      </c>
    </row>
    <row r="10" spans="1:11" x14ac:dyDescent="0.35">
      <c r="A10" s="125" t="s">
        <v>74</v>
      </c>
      <c r="B10" s="112">
        <v>1.6289432870370369E-2</v>
      </c>
      <c r="C10" s="112">
        <v>1.612005787037037E-2</v>
      </c>
      <c r="D10" s="112">
        <v>1.7290081018518519E-2</v>
      </c>
      <c r="E10" s="112">
        <v>1.6842523148148148E-2</v>
      </c>
      <c r="F10" s="112">
        <v>1.6960879629629631E-2</v>
      </c>
      <c r="G10" s="112">
        <v>1.5940856481481479E-2</v>
      </c>
      <c r="H10" s="112">
        <v>1.6074652777777778E-2</v>
      </c>
      <c r="I10" s="112">
        <v>1.5643252314814816E-2</v>
      </c>
      <c r="J10" s="112">
        <v>1.5171493055555556E-2</v>
      </c>
      <c r="K10" s="112">
        <v>1.5992164351851853E-2</v>
      </c>
    </row>
    <row r="11" spans="1:11" hidden="1" x14ac:dyDescent="0.35">
      <c r="A11" s="120" t="s">
        <v>75</v>
      </c>
      <c r="B11" s="121"/>
      <c r="C11" s="121"/>
      <c r="D11" s="121"/>
      <c r="E11" s="121"/>
      <c r="F11" s="121"/>
      <c r="G11" s="121"/>
      <c r="H11" s="121"/>
      <c r="I11" s="121"/>
      <c r="J11" s="121"/>
      <c r="K11" s="121"/>
    </row>
    <row r="12" spans="1:11" hidden="1" x14ac:dyDescent="0.35">
      <c r="A12" s="117" t="s">
        <v>76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</row>
    <row r="13" spans="1:11" x14ac:dyDescent="0.35">
      <c r="A13" s="126" t="s">
        <v>77</v>
      </c>
      <c r="B13" s="89">
        <v>4.0235613425925923E-2</v>
      </c>
      <c r="C13" s="89">
        <v>0.13477361111111111</v>
      </c>
      <c r="D13" s="89">
        <v>0.15152076388888888</v>
      </c>
      <c r="E13" s="89">
        <v>0.16716848379629629</v>
      </c>
      <c r="F13" s="89">
        <v>0.18333141203703704</v>
      </c>
      <c r="G13" s="89">
        <v>8.3256365740740745E-2</v>
      </c>
      <c r="H13" s="89">
        <v>9.8419826388888895E-2</v>
      </c>
      <c r="I13" s="89">
        <v>0.11265879629629628</v>
      </c>
      <c r="J13" s="89">
        <v>6.3931712962962961E-2</v>
      </c>
      <c r="K13" s="89">
        <v>4.8541203703703704E-2</v>
      </c>
    </row>
    <row r="14" spans="1:11" x14ac:dyDescent="0.35">
      <c r="A14" s="117" t="s">
        <v>78</v>
      </c>
      <c r="B14" s="84">
        <v>2.0115740740740742E-5</v>
      </c>
      <c r="C14" s="84">
        <v>6.7384259259259261E-5</v>
      </c>
      <c r="D14" s="84">
        <v>7.5763888888888886E-5</v>
      </c>
      <c r="E14" s="84">
        <v>8.3587962962962961E-5</v>
      </c>
      <c r="F14" s="84">
        <v>9.1666666666666668E-5</v>
      </c>
      <c r="G14" s="84">
        <v>4.1631944444444446E-5</v>
      </c>
      <c r="H14" s="84">
        <v>4.9212962962962959E-5</v>
      </c>
      <c r="I14" s="84">
        <v>5.6331018518518519E-5</v>
      </c>
      <c r="J14" s="84">
        <v>3.1967592592592592E-5</v>
      </c>
      <c r="K14" s="84">
        <v>2.4270833333333331E-5</v>
      </c>
    </row>
  </sheetData>
  <mergeCells count="1">
    <mergeCell ref="B4:K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2A129-2C38-46F2-A464-DB7BD387F3FA}">
  <dimension ref="A1:D13"/>
  <sheetViews>
    <sheetView workbookViewId="0">
      <selection activeCell="B2" sqref="B2:C2"/>
    </sheetView>
  </sheetViews>
  <sheetFormatPr defaultRowHeight="14.5" x14ac:dyDescent="0.35"/>
  <cols>
    <col min="1" max="1" width="38.81640625" bestFit="1" customWidth="1"/>
    <col min="2" max="2" width="41.1796875" customWidth="1"/>
    <col min="3" max="3" width="37.453125" customWidth="1"/>
    <col min="4" max="4" width="37.26953125" customWidth="1"/>
  </cols>
  <sheetData>
    <row r="1" spans="1:4" ht="81" customHeight="1" x14ac:dyDescent="0.35">
      <c r="A1" s="69" t="s">
        <v>141</v>
      </c>
      <c r="B1" s="3" t="s">
        <v>163</v>
      </c>
      <c r="C1" s="3" t="s">
        <v>164</v>
      </c>
      <c r="D1" s="3" t="s">
        <v>165</v>
      </c>
    </row>
    <row r="2" spans="1:4" x14ac:dyDescent="0.35">
      <c r="A2" s="80" t="s">
        <v>5</v>
      </c>
      <c r="B2" s="104" t="s">
        <v>166</v>
      </c>
      <c r="C2" s="104" t="s">
        <v>167</v>
      </c>
      <c r="D2" s="104" t="s">
        <v>162</v>
      </c>
    </row>
    <row r="3" spans="1:4" x14ac:dyDescent="0.35">
      <c r="A3" s="70" t="s">
        <v>67</v>
      </c>
      <c r="B3" s="367" t="s">
        <v>68</v>
      </c>
      <c r="C3" s="367"/>
      <c r="D3" s="367"/>
    </row>
    <row r="4" spans="1:4" x14ac:dyDescent="0.35">
      <c r="A4" s="71" t="s">
        <v>69</v>
      </c>
      <c r="B4" s="72">
        <v>2.4734606481481482E-3</v>
      </c>
      <c r="C4" s="72">
        <v>1.8272453703703704E-3</v>
      </c>
      <c r="D4" s="72">
        <v>1.4529745370370371E-3</v>
      </c>
    </row>
    <row r="5" spans="1:4" x14ac:dyDescent="0.35">
      <c r="A5" s="73" t="s">
        <v>70</v>
      </c>
      <c r="B5" s="74">
        <v>7.8819444444444455E-5</v>
      </c>
      <c r="C5" s="74">
        <v>1.5358796296296296E-4</v>
      </c>
      <c r="D5" s="74">
        <v>1.4039351851851854E-4</v>
      </c>
    </row>
    <row r="6" spans="1:4" x14ac:dyDescent="0.35">
      <c r="A6" s="71" t="s">
        <v>71</v>
      </c>
      <c r="B6" s="75">
        <v>3.2553240740740741E-3</v>
      </c>
      <c r="C6" s="75">
        <v>3.3337962962962965E-3</v>
      </c>
      <c r="D6" s="75">
        <v>3.0738078703703705E-2</v>
      </c>
    </row>
    <row r="7" spans="1:4" x14ac:dyDescent="0.35">
      <c r="A7" s="76" t="s">
        <v>72</v>
      </c>
      <c r="B7" s="77">
        <v>2.7278541666666666E-2</v>
      </c>
      <c r="C7" s="77">
        <v>2.7391585648148146E-2</v>
      </c>
      <c r="D7" s="77">
        <v>1.3472800925925926E-2</v>
      </c>
    </row>
    <row r="8" spans="1:4" x14ac:dyDescent="0.35">
      <c r="A8" s="71" t="s">
        <v>73</v>
      </c>
      <c r="B8" s="72">
        <v>4.8896990740740737E-4</v>
      </c>
      <c r="C8" s="72">
        <v>3.783912037037037E-4</v>
      </c>
      <c r="D8" s="72">
        <v>2.3843206018518519E-2</v>
      </c>
    </row>
    <row r="9" spans="1:4" x14ac:dyDescent="0.35">
      <c r="A9" s="78" t="s">
        <v>74</v>
      </c>
      <c r="B9" s="79">
        <v>3.6944826388888886E-2</v>
      </c>
      <c r="C9" s="79">
        <v>3.6438587962962961E-2</v>
      </c>
      <c r="D9" s="79">
        <v>1.3801041666666668E-2</v>
      </c>
    </row>
    <row r="10" spans="1:4" x14ac:dyDescent="0.35">
      <c r="A10" s="71" t="s">
        <v>75</v>
      </c>
      <c r="B10" s="72"/>
      <c r="C10" s="72"/>
      <c r="D10" s="72"/>
    </row>
    <row r="11" spans="1:4" x14ac:dyDescent="0.35">
      <c r="A11" s="80" t="s">
        <v>76</v>
      </c>
      <c r="B11" s="81"/>
      <c r="C11" s="81"/>
      <c r="D11" s="81"/>
    </row>
    <row r="12" spans="1:4" x14ac:dyDescent="0.35">
      <c r="A12" s="82" t="s">
        <v>77</v>
      </c>
      <c r="B12" s="83">
        <v>7.0523379629629637E-2</v>
      </c>
      <c r="C12" s="83">
        <v>6.9544837962962958E-2</v>
      </c>
      <c r="D12" s="83">
        <v>8.3448495370370371E-2</v>
      </c>
    </row>
    <row r="13" spans="1:4" x14ac:dyDescent="0.35">
      <c r="A13" s="80" t="s">
        <v>138</v>
      </c>
      <c r="B13" s="84" t="s">
        <v>168</v>
      </c>
      <c r="C13" s="86" t="s">
        <v>169</v>
      </c>
      <c r="D13" s="86" t="s">
        <v>170</v>
      </c>
    </row>
  </sheetData>
  <mergeCells count="1">
    <mergeCell ref="B3:D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2E8FD-77C7-470D-8065-11BE3D4B9CDF}">
  <dimension ref="A2:N40"/>
  <sheetViews>
    <sheetView workbookViewId="0">
      <selection activeCell="A10" sqref="A10"/>
    </sheetView>
  </sheetViews>
  <sheetFormatPr defaultRowHeight="14.5" x14ac:dyDescent="0.35"/>
  <cols>
    <col min="1" max="1" width="29" customWidth="1"/>
    <col min="2" max="2" width="24.7265625" style="174" customWidth="1"/>
    <col min="3" max="3" width="29.453125" style="174" customWidth="1"/>
    <col min="4" max="4" width="26.1796875" style="174" customWidth="1"/>
    <col min="5" max="5" width="23.7265625" style="174" customWidth="1"/>
    <col min="6" max="6" width="21.453125" style="174" customWidth="1"/>
    <col min="7" max="7" width="24" style="174" customWidth="1"/>
    <col min="8" max="8" width="25" style="174" customWidth="1"/>
    <col min="9" max="10" width="23" style="174" customWidth="1"/>
    <col min="11" max="11" width="19.26953125" style="174" customWidth="1"/>
    <col min="12" max="14" width="12.54296875" bestFit="1" customWidth="1"/>
    <col min="16384" max="16384" width="9.1796875" bestFit="1" customWidth="1"/>
  </cols>
  <sheetData>
    <row r="2" spans="1:12" ht="78.75" customHeight="1" x14ac:dyDescent="0.35">
      <c r="A2" s="183" t="s">
        <v>151</v>
      </c>
      <c r="B2" s="184" t="s">
        <v>171</v>
      </c>
      <c r="C2" s="184" t="s">
        <v>172</v>
      </c>
      <c r="D2" s="184" t="s">
        <v>173</v>
      </c>
      <c r="E2" s="184" t="s">
        <v>174</v>
      </c>
      <c r="F2" s="184" t="s">
        <v>175</v>
      </c>
      <c r="G2" s="184" t="s">
        <v>176</v>
      </c>
      <c r="H2" s="184" t="s">
        <v>177</v>
      </c>
      <c r="I2" s="184" t="s">
        <v>178</v>
      </c>
      <c r="J2" s="184" t="s">
        <v>179</v>
      </c>
      <c r="K2" s="184" t="s">
        <v>180</v>
      </c>
    </row>
    <row r="3" spans="1:12" x14ac:dyDescent="0.35">
      <c r="A3" s="117" t="s">
        <v>5</v>
      </c>
      <c r="B3" s="185"/>
      <c r="C3" s="185"/>
      <c r="D3" s="185"/>
      <c r="E3" s="185"/>
      <c r="F3" s="185"/>
      <c r="G3" s="185"/>
      <c r="H3" s="185"/>
      <c r="I3" s="185"/>
      <c r="J3" s="185"/>
      <c r="K3" s="185"/>
    </row>
    <row r="4" spans="1:12" x14ac:dyDescent="0.35">
      <c r="A4" s="119" t="s">
        <v>67</v>
      </c>
      <c r="B4" s="369" t="s">
        <v>68</v>
      </c>
      <c r="C4" s="369"/>
      <c r="D4" s="369"/>
      <c r="E4" s="369"/>
      <c r="F4" s="369"/>
      <c r="G4" s="369"/>
      <c r="H4" s="369"/>
      <c r="I4" s="369"/>
      <c r="J4" s="369"/>
      <c r="K4" s="369"/>
    </row>
    <row r="5" spans="1:12" x14ac:dyDescent="0.35">
      <c r="A5" s="120" t="s">
        <v>69</v>
      </c>
      <c r="B5" s="121">
        <v>1.9210300925925927E-3</v>
      </c>
      <c r="C5" s="121">
        <v>1.2341435185185185E-3</v>
      </c>
      <c r="D5" s="121">
        <v>6.6145833333333334E-4</v>
      </c>
      <c r="E5" s="121">
        <v>9.3750000000000009E-6</v>
      </c>
      <c r="F5" s="121">
        <v>3.0754629629629634E-3</v>
      </c>
      <c r="G5" s="121">
        <v>2.6295486111111107E-3</v>
      </c>
      <c r="H5" s="121">
        <v>2.1103356481481481E-3</v>
      </c>
      <c r="I5" s="121">
        <v>1.6128009259259259E-3</v>
      </c>
      <c r="J5" s="121">
        <v>8.4976851851851858E-4</v>
      </c>
      <c r="K5" s="121">
        <v>5.5300925925925927E-4</v>
      </c>
    </row>
    <row r="6" spans="1:12" x14ac:dyDescent="0.35">
      <c r="A6" s="122" t="s">
        <v>70</v>
      </c>
      <c r="B6" s="113">
        <v>6.7442129629629631E-5</v>
      </c>
      <c r="C6" s="113">
        <v>6.7824074074074084E-5</v>
      </c>
      <c r="D6" s="113">
        <v>9.6377314814814817E-5</v>
      </c>
      <c r="E6" s="113">
        <v>1.0135416666666667E-4</v>
      </c>
      <c r="F6" s="113">
        <v>2.9131944444444444E-5</v>
      </c>
      <c r="G6" s="113">
        <v>6.5092592592592584E-5</v>
      </c>
      <c r="H6" s="113">
        <v>6.817129629629629E-5</v>
      </c>
      <c r="I6" s="113">
        <v>3.3645833333333336E-5</v>
      </c>
      <c r="J6" s="113">
        <v>5.7442129629629632E-5</v>
      </c>
      <c r="K6" s="113">
        <v>6.4270833333333335E-5</v>
      </c>
    </row>
    <row r="7" spans="1:12" x14ac:dyDescent="0.35">
      <c r="A7" s="181" t="s">
        <v>71</v>
      </c>
      <c r="B7" s="123">
        <v>9.9925729166666671E-2</v>
      </c>
      <c r="C7" s="123">
        <v>3.3189004629629627E-3</v>
      </c>
      <c r="D7" s="123">
        <v>0.12712040509259259</v>
      </c>
      <c r="E7" s="123">
        <v>9.9996956018518504E-2</v>
      </c>
      <c r="F7" s="123">
        <v>1.4098298611111112E-2</v>
      </c>
      <c r="G7" s="123">
        <v>4.1155555555555556E-2</v>
      </c>
      <c r="H7" s="123">
        <v>1.4127627314814815E-2</v>
      </c>
      <c r="I7" s="123">
        <v>5.497997685185186E-2</v>
      </c>
      <c r="J7" s="123">
        <v>6.8308414351851851E-2</v>
      </c>
      <c r="K7" s="123">
        <v>6.8303321759259267E-2</v>
      </c>
    </row>
    <row r="8" spans="1:12" x14ac:dyDescent="0.35">
      <c r="A8" s="124" t="s">
        <v>72</v>
      </c>
      <c r="B8" s="176">
        <v>2.7110381944444446E-2</v>
      </c>
      <c r="C8" s="114">
        <v>1.4050810185185185E-2</v>
      </c>
      <c r="D8" s="114">
        <v>1.3211539351851853E-2</v>
      </c>
      <c r="E8" s="114">
        <v>2.7099456018518518E-2</v>
      </c>
      <c r="F8" s="114">
        <v>2.6788854166666664E-2</v>
      </c>
      <c r="G8" s="114">
        <v>1.3747291666666668E-2</v>
      </c>
      <c r="H8" s="114">
        <v>2.6801423611111111E-2</v>
      </c>
      <c r="I8" s="114">
        <v>1.3275266203703702E-2</v>
      </c>
      <c r="J8" s="114">
        <v>2.8240393518518515E-2</v>
      </c>
      <c r="K8" s="114">
        <v>2.8234756944444446E-2</v>
      </c>
    </row>
    <row r="9" spans="1:12" x14ac:dyDescent="0.35">
      <c r="A9" s="120" t="s">
        <v>73</v>
      </c>
      <c r="B9" s="177">
        <v>2.9570138888888889E-2</v>
      </c>
      <c r="C9" s="121">
        <v>3.3039699074074078E-3</v>
      </c>
      <c r="D9" s="121">
        <v>1.6347754629629629E-2</v>
      </c>
      <c r="E9" s="121">
        <v>2.9579942129629628E-2</v>
      </c>
      <c r="F9" s="121">
        <v>9.528125000000001E-4</v>
      </c>
      <c r="G9" s="121">
        <v>2.6046296296296297E-2</v>
      </c>
      <c r="H9" s="121">
        <v>9.4065972222222218E-4</v>
      </c>
      <c r="I9" s="121">
        <v>1.2758333333333333E-2</v>
      </c>
      <c r="J9" s="121">
        <v>2.1690011574074075E-2</v>
      </c>
      <c r="K9" s="121">
        <v>2.1694178240740741E-2</v>
      </c>
    </row>
    <row r="10" spans="1:12" x14ac:dyDescent="0.35">
      <c r="A10" s="125" t="s">
        <v>74</v>
      </c>
      <c r="B10" s="178">
        <v>6.8249722222222226E-2</v>
      </c>
      <c r="C10" s="112">
        <v>1.4233530092592593E-2</v>
      </c>
      <c r="D10" s="112">
        <v>6.8312152777777774E-2</v>
      </c>
      <c r="E10" s="112">
        <v>6.8112997685185181E-2</v>
      </c>
      <c r="F10" s="112">
        <v>3.9063425925925925E-2</v>
      </c>
      <c r="G10" s="112">
        <v>3.7076967592592588E-2</v>
      </c>
      <c r="H10" s="112">
        <v>3.877337962962963E-2</v>
      </c>
      <c r="I10" s="112">
        <v>3.7168518518518517E-2</v>
      </c>
      <c r="J10" s="112">
        <v>3.4999722222222224E-2</v>
      </c>
      <c r="K10" s="112">
        <v>2.8353356481481483E-2</v>
      </c>
    </row>
    <row r="11" spans="1:12" hidden="1" x14ac:dyDescent="0.35">
      <c r="A11" s="120" t="s">
        <v>75</v>
      </c>
      <c r="B11" s="177"/>
      <c r="C11" s="121"/>
      <c r="D11" s="121"/>
      <c r="E11" s="121"/>
      <c r="F11" s="121"/>
      <c r="G11" s="121"/>
      <c r="H11" s="121"/>
      <c r="I11" s="121"/>
      <c r="J11" s="121"/>
      <c r="K11" s="121"/>
    </row>
    <row r="12" spans="1:12" hidden="1" x14ac:dyDescent="0.35">
      <c r="A12" s="117" t="s">
        <v>76</v>
      </c>
      <c r="B12" s="179"/>
      <c r="C12" s="84"/>
      <c r="D12" s="84"/>
      <c r="E12" s="84"/>
      <c r="F12" s="84"/>
      <c r="G12" s="84"/>
      <c r="H12" s="84"/>
      <c r="I12" s="84"/>
      <c r="J12" s="84"/>
      <c r="K12" s="84"/>
    </row>
    <row r="13" spans="1:12" ht="29" x14ac:dyDescent="0.35">
      <c r="A13" s="175" t="s">
        <v>181</v>
      </c>
      <c r="B13" s="180">
        <v>0.2268543287037037</v>
      </c>
      <c r="C13" s="89">
        <v>3.6227037037037037E-2</v>
      </c>
      <c r="D13" s="89">
        <v>0.22575501157407407</v>
      </c>
      <c r="E13" s="89">
        <v>0.2249122685185185</v>
      </c>
      <c r="F13" s="89">
        <v>8.4014004629629629E-2</v>
      </c>
      <c r="G13" s="89">
        <v>0.12073121527777778</v>
      </c>
      <c r="H13" s="89">
        <v>8.2830393518518522E-2</v>
      </c>
      <c r="I13" s="89">
        <v>0.11983467592592593</v>
      </c>
      <c r="J13" s="89">
        <v>0.1541493402777778</v>
      </c>
      <c r="K13" s="89">
        <v>0.14720775462962962</v>
      </c>
      <c r="L13" s="174"/>
    </row>
    <row r="14" spans="1:12" x14ac:dyDescent="0.35">
      <c r="A14" s="182" t="s">
        <v>78</v>
      </c>
      <c r="B14" s="84">
        <v>1.1342592592592593E-4</v>
      </c>
      <c r="C14" s="84">
        <v>1.8113425925925925E-5</v>
      </c>
      <c r="D14" s="84">
        <v>1.1288194444444445E-4</v>
      </c>
      <c r="E14" s="84">
        <v>1.124537037037037E-4</v>
      </c>
      <c r="F14" s="84">
        <v>4.2002314814814817E-5</v>
      </c>
      <c r="G14" s="84">
        <v>6.0370370370370372E-5</v>
      </c>
      <c r="H14" s="84">
        <v>4.1412037037037034E-5</v>
      </c>
      <c r="I14" s="84">
        <v>5.9918981481481474E-5</v>
      </c>
      <c r="J14" s="84">
        <v>7.7071759259259259E-5</v>
      </c>
      <c r="K14" s="84">
        <v>7.3599537037037031E-5</v>
      </c>
    </row>
    <row r="17" spans="1:9" ht="24.5" x14ac:dyDescent="0.35">
      <c r="A17" s="188" t="s">
        <v>182</v>
      </c>
      <c r="B17" s="189" t="s">
        <v>69</v>
      </c>
      <c r="C17" s="190" t="s">
        <v>70</v>
      </c>
      <c r="D17" s="189" t="s">
        <v>71</v>
      </c>
      <c r="E17" s="272" t="s">
        <v>72</v>
      </c>
      <c r="F17" s="189" t="s">
        <v>73</v>
      </c>
      <c r="G17" s="191" t="s">
        <v>74</v>
      </c>
      <c r="H17" s="193" t="s">
        <v>183</v>
      </c>
      <c r="I17" s="192" t="s">
        <v>184</v>
      </c>
    </row>
    <row r="18" spans="1:9" x14ac:dyDescent="0.35">
      <c r="A18" s="187" t="s">
        <v>185</v>
      </c>
      <c r="B18" s="273">
        <v>3.2595601851851848E-3</v>
      </c>
      <c r="C18" s="273">
        <v>1.0381944444444445E-5</v>
      </c>
      <c r="D18" s="273">
        <v>9.8451736111111118E-3</v>
      </c>
      <c r="E18" s="273">
        <v>9.1944444444444449E-5</v>
      </c>
      <c r="F18" s="273">
        <v>4.726851851851852E-4</v>
      </c>
      <c r="G18" s="273">
        <v>2.8626157407407409E-4</v>
      </c>
      <c r="H18" s="273">
        <v>1.3971331018518518E-2</v>
      </c>
      <c r="I18" s="273">
        <v>1.9959027777777779E-3</v>
      </c>
    </row>
    <row r="19" spans="1:9" x14ac:dyDescent="0.35">
      <c r="A19" s="187" t="s">
        <v>186</v>
      </c>
      <c r="B19" s="194">
        <v>2.0463310185185185E-3</v>
      </c>
      <c r="C19" s="194">
        <v>2.337962962962963E-5</v>
      </c>
      <c r="D19" s="194">
        <v>5.4990393518518518E-2</v>
      </c>
      <c r="E19" s="194">
        <v>1.4406249999999998E-4</v>
      </c>
      <c r="F19" s="194">
        <v>2.5889814814814817E-2</v>
      </c>
      <c r="G19" s="194">
        <v>4.7372685185185186E-4</v>
      </c>
      <c r="H19" s="194">
        <v>8.3595601851851845E-2</v>
      </c>
      <c r="I19" s="194">
        <v>1.1942233796296296E-2</v>
      </c>
    </row>
    <row r="20" spans="1:9" x14ac:dyDescent="0.35">
      <c r="A20" s="187" t="s">
        <v>187</v>
      </c>
      <c r="B20" s="194">
        <v>1.6150462962962963E-4</v>
      </c>
      <c r="C20" s="194">
        <v>1.8634259259259258E-5</v>
      </c>
      <c r="D20" s="194">
        <v>1.6885451388888889E-2</v>
      </c>
      <c r="E20" s="194">
        <v>8.6111111111111119E-5</v>
      </c>
      <c r="F20" s="194">
        <v>3.7114583333333335E-4</v>
      </c>
      <c r="G20" s="194">
        <v>2.9375000000000001E-4</v>
      </c>
      <c r="H20" s="194">
        <v>1.7824884259259259E-2</v>
      </c>
      <c r="I20" s="194">
        <v>2.5464120370370371E-3</v>
      </c>
    </row>
    <row r="21" spans="1:9" x14ac:dyDescent="0.35">
      <c r="A21" s="187" t="s">
        <v>188</v>
      </c>
      <c r="B21" s="194">
        <v>1.1727546296296295E-3</v>
      </c>
      <c r="C21" s="194">
        <v>1.6666666666666667E-5</v>
      </c>
      <c r="D21" s="194">
        <v>3.6482291666666668E-3</v>
      </c>
      <c r="E21" s="194">
        <v>9.0358796296296294E-5</v>
      </c>
      <c r="F21" s="194">
        <v>3.1957523148148149E-3</v>
      </c>
      <c r="G21" s="194">
        <v>3.6241898148148147E-4</v>
      </c>
      <c r="H21" s="194">
        <v>8.5024305555555565E-3</v>
      </c>
      <c r="I21" s="194">
        <v>1.2146296296296297E-3</v>
      </c>
    </row>
    <row r="22" spans="1:9" x14ac:dyDescent="0.35">
      <c r="A22" s="187" t="s">
        <v>189</v>
      </c>
      <c r="B22" s="194">
        <v>6.6871527777777784E-4</v>
      </c>
      <c r="C22" s="194">
        <v>7.2916666666666666E-6</v>
      </c>
      <c r="D22" s="194">
        <v>2.3940972222222221E-2</v>
      </c>
      <c r="E22" s="194">
        <v>1.2055555555555557E-4</v>
      </c>
      <c r="F22" s="194">
        <v>2.3719907407407408E-4</v>
      </c>
      <c r="G22" s="194">
        <v>2.8490740740740739E-4</v>
      </c>
      <c r="H22" s="194">
        <v>2.5264895833333335E-2</v>
      </c>
      <c r="I22" s="194">
        <v>3.6092708333333333E-3</v>
      </c>
    </row>
    <row r="23" spans="1:9" x14ac:dyDescent="0.35">
      <c r="A23" s="187" t="s">
        <v>190</v>
      </c>
      <c r="B23" s="194">
        <v>2.5972569444444441E-3</v>
      </c>
      <c r="C23" s="194">
        <v>1.0844907407407409E-5</v>
      </c>
      <c r="D23" s="194">
        <v>3.3123032407407407E-3</v>
      </c>
      <c r="E23" s="194">
        <v>5.4942129629629625E-5</v>
      </c>
      <c r="F23" s="194">
        <v>3.392280092592593E-3</v>
      </c>
      <c r="G23" s="194">
        <v>5.4317129629629624E-5</v>
      </c>
      <c r="H23" s="194">
        <v>9.422337962962964E-3</v>
      </c>
      <c r="I23" s="194">
        <v>1.3460532407407408E-3</v>
      </c>
    </row>
    <row r="24" spans="1:9" x14ac:dyDescent="0.35">
      <c r="A24" s="187" t="s">
        <v>191</v>
      </c>
      <c r="B24" s="194">
        <v>2.9755439814814814E-3</v>
      </c>
      <c r="C24" s="194">
        <v>5.4513888888888891E-5</v>
      </c>
      <c r="D24" s="194">
        <v>3.4380439814814816E-3</v>
      </c>
      <c r="E24" s="194">
        <v>3.3217592592592595E-5</v>
      </c>
      <c r="F24" s="194">
        <v>3.4193287037037039E-3</v>
      </c>
      <c r="G24" s="194">
        <v>3.7387731481481479E-4</v>
      </c>
      <c r="H24" s="194">
        <v>1.0295335648148149E-2</v>
      </c>
      <c r="I24" s="194">
        <v>1.4707638888888889E-3</v>
      </c>
    </row>
    <row r="25" spans="1:9" x14ac:dyDescent="0.35">
      <c r="A25" s="187" t="s">
        <v>192</v>
      </c>
      <c r="B25" s="194">
        <v>9.1435185185185185E-4</v>
      </c>
      <c r="C25" s="194">
        <v>8.3680555555555547E-6</v>
      </c>
      <c r="D25" s="194">
        <v>1.8263888888888887E-4</v>
      </c>
      <c r="E25" s="194">
        <v>9.2326388888888889E-5</v>
      </c>
      <c r="F25" s="194">
        <v>3.2005324074074076E-3</v>
      </c>
      <c r="G25" s="194">
        <v>4.8483796296296296E-4</v>
      </c>
      <c r="H25" s="194">
        <v>4.8909259259259262E-3</v>
      </c>
      <c r="I25" s="194">
        <v>6.9870370370370377E-4</v>
      </c>
    </row>
    <row r="26" spans="1:9" x14ac:dyDescent="0.35">
      <c r="A26" s="187" t="s">
        <v>193</v>
      </c>
      <c r="B26" s="194">
        <v>1.4309490740740741E-3</v>
      </c>
      <c r="C26" s="194">
        <v>8.101851851851852E-6</v>
      </c>
      <c r="D26" s="194">
        <v>7.2483796296296298E-3</v>
      </c>
      <c r="E26" s="194">
        <v>7.5034722222222213E-5</v>
      </c>
      <c r="F26" s="194">
        <v>3.0896990740740741E-3</v>
      </c>
      <c r="G26" s="194">
        <v>4.9077546296296293E-4</v>
      </c>
      <c r="H26" s="194">
        <v>1.2350578703703702E-2</v>
      </c>
      <c r="I26" s="194">
        <v>1.764363425925926E-3</v>
      </c>
    </row>
    <row r="27" spans="1:9" x14ac:dyDescent="0.35">
      <c r="A27" s="187" t="s">
        <v>194</v>
      </c>
      <c r="B27" s="194">
        <v>2.6863425925925926E-3</v>
      </c>
      <c r="C27" s="194">
        <v>4.6481481481481479E-5</v>
      </c>
      <c r="D27" s="194">
        <v>1.4351851851851851E-5</v>
      </c>
      <c r="E27" s="194">
        <v>1.0925925925925925E-5</v>
      </c>
      <c r="F27" s="194">
        <v>3.4041666666666669E-3</v>
      </c>
      <c r="G27" s="194">
        <v>3.6724537037037037E-4</v>
      </c>
      <c r="H27" s="194">
        <v>6.530706018518519E-3</v>
      </c>
      <c r="I27" s="194">
        <v>9.3296296296296302E-4</v>
      </c>
    </row>
    <row r="28" spans="1:9" x14ac:dyDescent="0.35">
      <c r="A28" s="187" t="s">
        <v>195</v>
      </c>
      <c r="B28" s="194">
        <v>2.9920833333333336E-3</v>
      </c>
      <c r="C28" s="194">
        <v>8.9120370370370373E-6</v>
      </c>
      <c r="D28" s="194">
        <v>6.3787037037037041E-3</v>
      </c>
      <c r="E28" s="194">
        <v>9.2824074074074068E-5</v>
      </c>
      <c r="F28" s="194">
        <v>4.6995370370370371E-4</v>
      </c>
      <c r="G28" s="194">
        <v>3.5729166666666667E-4</v>
      </c>
      <c r="H28" s="194">
        <v>1.0304085648148149E-2</v>
      </c>
      <c r="I28" s="194">
        <v>1.4720138888888888E-3</v>
      </c>
    </row>
    <row r="29" spans="1:9" x14ac:dyDescent="0.35">
      <c r="A29" s="187" t="s">
        <v>196</v>
      </c>
      <c r="B29" s="194">
        <v>2.9755439814814814E-3</v>
      </c>
      <c r="C29" s="194">
        <v>5.4513888888888891E-5</v>
      </c>
      <c r="D29" s="194">
        <v>3.4380439814814816E-3</v>
      </c>
      <c r="E29" s="194">
        <v>3.3217592592592595E-5</v>
      </c>
      <c r="F29" s="194">
        <v>3.4193287037037039E-3</v>
      </c>
      <c r="G29" s="194">
        <v>3.7387731481481479E-4</v>
      </c>
      <c r="H29" s="194">
        <v>1.0295335648148149E-2</v>
      </c>
      <c r="I29" s="194">
        <v>1.4707638888888889E-3</v>
      </c>
    </row>
    <row r="30" spans="1:9" x14ac:dyDescent="0.35">
      <c r="A30" s="187" t="s">
        <v>197</v>
      </c>
      <c r="B30" s="194">
        <v>4.0945601851851852E-4</v>
      </c>
      <c r="C30" s="194">
        <v>7.5578703703703711E-6</v>
      </c>
      <c r="D30" s="194">
        <v>2.0373576388888891E-2</v>
      </c>
      <c r="E30" s="194">
        <v>8.7384259259259259E-5</v>
      </c>
      <c r="F30" s="194">
        <v>3.7202546296296295E-4</v>
      </c>
      <c r="G30" s="194">
        <v>2.7832175925925924E-4</v>
      </c>
      <c r="H30" s="194">
        <v>2.153611111111111E-2</v>
      </c>
      <c r="I30" s="194">
        <v>3.0765856481481482E-3</v>
      </c>
    </row>
    <row r="33" spans="2:14" x14ac:dyDescent="0.35">
      <c r="B33" s="186"/>
      <c r="L33" s="174"/>
      <c r="M33" s="174"/>
      <c r="N33" s="174"/>
    </row>
    <row r="34" spans="2:14" x14ac:dyDescent="0.35">
      <c r="B34" s="186"/>
      <c r="L34" s="174"/>
      <c r="M34" s="174"/>
      <c r="N34" s="174"/>
    </row>
    <row r="35" spans="2:14" x14ac:dyDescent="0.35">
      <c r="B35" s="186"/>
      <c r="L35" s="174"/>
      <c r="M35" s="174"/>
      <c r="N35" s="174"/>
    </row>
    <row r="36" spans="2:14" x14ac:dyDescent="0.35">
      <c r="B36" s="186"/>
      <c r="L36" s="174"/>
      <c r="M36" s="174"/>
      <c r="N36" s="174"/>
    </row>
    <row r="37" spans="2:14" x14ac:dyDescent="0.35">
      <c r="B37" s="186"/>
      <c r="L37" s="174"/>
      <c r="M37" s="174"/>
      <c r="N37" s="174"/>
    </row>
    <row r="38" spans="2:14" x14ac:dyDescent="0.35">
      <c r="B38" s="186"/>
      <c r="L38" s="174"/>
      <c r="M38" s="174"/>
      <c r="N38" s="174"/>
    </row>
    <row r="39" spans="2:14" x14ac:dyDescent="0.35">
      <c r="B39" s="186"/>
      <c r="L39" s="174"/>
      <c r="M39" s="174"/>
      <c r="N39" s="174"/>
    </row>
    <row r="40" spans="2:14" x14ac:dyDescent="0.35">
      <c r="B40" s="186"/>
      <c r="L40" s="174"/>
      <c r="M40" s="174"/>
      <c r="N40" s="174"/>
    </row>
  </sheetData>
  <mergeCells count="1">
    <mergeCell ref="B4:K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BA0F9-56A7-48FE-8EEE-AC8E630D5F7C}">
  <dimension ref="A1:N33"/>
  <sheetViews>
    <sheetView topLeftCell="A9" workbookViewId="0">
      <selection activeCell="B13" sqref="B13"/>
    </sheetView>
  </sheetViews>
  <sheetFormatPr defaultRowHeight="14.5" x14ac:dyDescent="0.35"/>
  <cols>
    <col min="1" max="1" width="35.26953125" customWidth="1"/>
    <col min="2" max="2" width="45.81640625" customWidth="1"/>
    <col min="3" max="3" width="33.54296875" customWidth="1"/>
    <col min="4" max="4" width="32.26953125" customWidth="1"/>
    <col min="5" max="5" width="32.7265625" customWidth="1"/>
    <col min="6" max="6" width="33.1796875" customWidth="1"/>
    <col min="7" max="7" width="34.81640625" customWidth="1"/>
    <col min="8" max="8" width="37.81640625" customWidth="1"/>
    <col min="9" max="9" width="33" customWidth="1"/>
    <col min="10" max="10" width="31.1796875" customWidth="1"/>
    <col min="11" max="11" width="37.453125" customWidth="1"/>
  </cols>
  <sheetData>
    <row r="1" spans="1:12" x14ac:dyDescent="0.35">
      <c r="B1" s="174"/>
      <c r="C1" s="174"/>
      <c r="D1" s="174"/>
      <c r="E1" s="174"/>
      <c r="F1" s="174"/>
      <c r="G1" s="174"/>
      <c r="H1" s="174"/>
      <c r="I1" s="174"/>
      <c r="J1" s="174"/>
      <c r="K1" s="174"/>
    </row>
    <row r="2" spans="1:12" ht="60" x14ac:dyDescent="0.35">
      <c r="A2" s="183" t="s">
        <v>151</v>
      </c>
      <c r="B2" s="184" t="s">
        <v>198</v>
      </c>
      <c r="C2" s="184" t="s">
        <v>199</v>
      </c>
      <c r="D2" s="184" t="s">
        <v>200</v>
      </c>
      <c r="E2" s="184" t="s">
        <v>201</v>
      </c>
      <c r="F2" s="184" t="s">
        <v>202</v>
      </c>
      <c r="G2" s="184" t="s">
        <v>203</v>
      </c>
      <c r="H2" s="184" t="s">
        <v>204</v>
      </c>
      <c r="I2" s="184" t="s">
        <v>205</v>
      </c>
      <c r="J2" s="184" t="s">
        <v>206</v>
      </c>
      <c r="K2" s="184" t="s">
        <v>207</v>
      </c>
    </row>
    <row r="3" spans="1:12" x14ac:dyDescent="0.35">
      <c r="A3" s="117" t="s">
        <v>5</v>
      </c>
      <c r="B3" s="185"/>
      <c r="C3" s="185"/>
      <c r="D3" s="185"/>
      <c r="E3" s="185"/>
      <c r="F3" s="185"/>
      <c r="G3" s="185"/>
      <c r="H3" s="185"/>
      <c r="I3" s="185"/>
      <c r="J3" s="185"/>
      <c r="K3" s="185"/>
    </row>
    <row r="4" spans="1:12" x14ac:dyDescent="0.35">
      <c r="A4" s="119" t="s">
        <v>67</v>
      </c>
      <c r="B4" s="369" t="s">
        <v>68</v>
      </c>
      <c r="C4" s="369"/>
      <c r="D4" s="369"/>
      <c r="E4" s="369"/>
      <c r="F4" s="369"/>
      <c r="G4" s="369"/>
      <c r="H4" s="369"/>
      <c r="I4" s="369"/>
      <c r="J4" s="369"/>
      <c r="K4" s="369"/>
    </row>
    <row r="5" spans="1:12" x14ac:dyDescent="0.35">
      <c r="A5" s="120" t="s">
        <v>69</v>
      </c>
      <c r="B5" s="121">
        <v>1.9210300925925927E-3</v>
      </c>
      <c r="C5" s="121">
        <v>1.2341435185185185E-3</v>
      </c>
      <c r="D5" s="121">
        <v>6.6145833333333334E-4</v>
      </c>
      <c r="E5" s="121">
        <v>9.3750000000000009E-6</v>
      </c>
      <c r="F5" s="121">
        <v>3.0754629629629634E-3</v>
      </c>
      <c r="G5" s="121">
        <v>2.6295486111111107E-3</v>
      </c>
      <c r="H5" s="121">
        <v>2.1103356481481481E-3</v>
      </c>
      <c r="I5" s="121">
        <v>1.6128009259259259E-3</v>
      </c>
      <c r="J5" s="121">
        <v>8.4976851851851858E-4</v>
      </c>
      <c r="K5" s="121">
        <v>5.5300925925925927E-4</v>
      </c>
    </row>
    <row r="6" spans="1:12" x14ac:dyDescent="0.35">
      <c r="A6" s="122" t="s">
        <v>70</v>
      </c>
      <c r="B6" s="113">
        <v>6.7442129629629631E-5</v>
      </c>
      <c r="C6" s="113">
        <v>6.7824074074074084E-5</v>
      </c>
      <c r="D6" s="113">
        <v>9.6377314814814817E-5</v>
      </c>
      <c r="E6" s="113">
        <v>1.0135416666666667E-4</v>
      </c>
      <c r="F6" s="113">
        <v>2.9131944444444444E-5</v>
      </c>
      <c r="G6" s="113">
        <v>6.5092592592592584E-5</v>
      </c>
      <c r="H6" s="113">
        <v>6.817129629629629E-5</v>
      </c>
      <c r="I6" s="113">
        <v>3.3645833333333336E-5</v>
      </c>
      <c r="J6" s="113">
        <v>5.7442129629629632E-5</v>
      </c>
      <c r="K6" s="113">
        <v>6.4270833333333335E-5</v>
      </c>
    </row>
    <row r="7" spans="1:12" x14ac:dyDescent="0.35">
      <c r="A7" s="181" t="s">
        <v>71</v>
      </c>
      <c r="B7" s="123">
        <v>9.9925729166666671E-2</v>
      </c>
      <c r="C7" s="123">
        <v>3.3189004629629627E-3</v>
      </c>
      <c r="D7" s="123">
        <v>0.12712040509259259</v>
      </c>
      <c r="E7" s="123">
        <v>9.9996956018518504E-2</v>
      </c>
      <c r="F7" s="123">
        <v>1.4098298611111112E-2</v>
      </c>
      <c r="G7" s="123">
        <v>4.1155555555555556E-2</v>
      </c>
      <c r="H7" s="123">
        <v>1.4127627314814815E-2</v>
      </c>
      <c r="I7" s="123">
        <v>5.497997685185186E-2</v>
      </c>
      <c r="J7" s="123">
        <v>6.8308414351851851E-2</v>
      </c>
      <c r="K7" s="123">
        <v>6.8303321759259267E-2</v>
      </c>
    </row>
    <row r="8" spans="1:12" x14ac:dyDescent="0.35">
      <c r="A8" s="124" t="s">
        <v>72</v>
      </c>
      <c r="B8" s="176">
        <v>2.7110381944444446E-2</v>
      </c>
      <c r="C8" s="114">
        <v>1.4050810185185185E-2</v>
      </c>
      <c r="D8" s="114">
        <v>1.3211539351851853E-2</v>
      </c>
      <c r="E8" s="114">
        <v>2.7099456018518518E-2</v>
      </c>
      <c r="F8" s="114">
        <v>2.6788854166666664E-2</v>
      </c>
      <c r="G8" s="114">
        <v>1.3747291666666668E-2</v>
      </c>
      <c r="H8" s="114">
        <v>2.6801423611111111E-2</v>
      </c>
      <c r="I8" s="114">
        <v>1.3275266203703702E-2</v>
      </c>
      <c r="J8" s="114">
        <v>2.8240393518518515E-2</v>
      </c>
      <c r="K8" s="114">
        <v>2.8234756944444446E-2</v>
      </c>
    </row>
    <row r="9" spans="1:12" x14ac:dyDescent="0.35">
      <c r="A9" s="120" t="s">
        <v>73</v>
      </c>
      <c r="B9" s="177">
        <v>2.9570138888888889E-2</v>
      </c>
      <c r="C9" s="121">
        <v>3.3039699074074078E-3</v>
      </c>
      <c r="D9" s="121">
        <v>1.6347754629629629E-2</v>
      </c>
      <c r="E9" s="121">
        <v>2.9579942129629628E-2</v>
      </c>
      <c r="F9" s="121">
        <v>9.528125000000001E-4</v>
      </c>
      <c r="G9" s="121">
        <v>2.6046296296296297E-2</v>
      </c>
      <c r="H9" s="121">
        <v>9.4065972222222218E-4</v>
      </c>
      <c r="I9" s="121">
        <v>1.2758333333333333E-2</v>
      </c>
      <c r="J9" s="121">
        <v>2.1690011574074075E-2</v>
      </c>
      <c r="K9" s="121">
        <v>2.1694178240740741E-2</v>
      </c>
    </row>
    <row r="10" spans="1:12" x14ac:dyDescent="0.35">
      <c r="A10" s="125" t="s">
        <v>74</v>
      </c>
      <c r="B10" s="178">
        <v>6.8249722222222226E-2</v>
      </c>
      <c r="C10" s="112">
        <v>1.4233530092592593E-2</v>
      </c>
      <c r="D10" s="112">
        <v>6.8312152777777774E-2</v>
      </c>
      <c r="E10" s="112">
        <v>6.8112997685185181E-2</v>
      </c>
      <c r="F10" s="112">
        <v>3.9063425925925925E-2</v>
      </c>
      <c r="G10" s="112">
        <v>3.7076967592592588E-2</v>
      </c>
      <c r="H10" s="112">
        <v>3.877337962962963E-2</v>
      </c>
      <c r="I10" s="112">
        <v>3.7168518518518517E-2</v>
      </c>
      <c r="J10" s="112">
        <v>3.4999722222222224E-2</v>
      </c>
      <c r="K10" s="112">
        <v>2.8353356481481483E-2</v>
      </c>
    </row>
    <row r="11" spans="1:12" x14ac:dyDescent="0.35">
      <c r="A11" s="120" t="s">
        <v>75</v>
      </c>
      <c r="B11" s="177"/>
      <c r="C11" s="121"/>
      <c r="D11" s="121"/>
      <c r="E11" s="121"/>
      <c r="F11" s="121"/>
      <c r="G11" s="121"/>
      <c r="H11" s="121"/>
      <c r="I11" s="121"/>
      <c r="J11" s="121"/>
      <c r="K11" s="121"/>
    </row>
    <row r="12" spans="1:12" x14ac:dyDescent="0.35">
      <c r="A12" s="117" t="s">
        <v>76</v>
      </c>
      <c r="B12" s="179"/>
      <c r="C12" s="84"/>
      <c r="D12" s="84"/>
      <c r="E12" s="84"/>
      <c r="F12" s="84"/>
      <c r="G12" s="84"/>
      <c r="H12" s="84"/>
      <c r="I12" s="84"/>
      <c r="J12" s="84"/>
      <c r="K12" s="84"/>
    </row>
    <row r="13" spans="1:12" ht="29" x14ac:dyDescent="0.35">
      <c r="A13" s="175" t="s">
        <v>181</v>
      </c>
      <c r="B13" s="180">
        <v>0.22685185185185186</v>
      </c>
      <c r="C13" s="89">
        <v>3.6227037037037037E-2</v>
      </c>
      <c r="D13" s="89">
        <v>0.22575501157407407</v>
      </c>
      <c r="E13" s="89">
        <v>0.2249122685185185</v>
      </c>
      <c r="F13" s="89">
        <v>8.4014004629629629E-2</v>
      </c>
      <c r="G13" s="89">
        <v>0.12073121527777778</v>
      </c>
      <c r="H13" s="89">
        <v>8.2830393518518522E-2</v>
      </c>
      <c r="I13" s="89">
        <v>0.11983467592592593</v>
      </c>
      <c r="J13" s="89">
        <v>0.1541493402777778</v>
      </c>
      <c r="K13" s="89">
        <v>0.14720775462962962</v>
      </c>
      <c r="L13" s="174"/>
    </row>
    <row r="14" spans="1:12" x14ac:dyDescent="0.35">
      <c r="A14" s="182" t="s">
        <v>78</v>
      </c>
      <c r="B14" s="84">
        <v>1.1574074074074075E-4</v>
      </c>
      <c r="C14" s="84">
        <v>1.8113425925925925E-5</v>
      </c>
      <c r="D14" s="84">
        <v>1.1288194444444445E-4</v>
      </c>
      <c r="E14" s="84">
        <v>1.124537037037037E-4</v>
      </c>
      <c r="F14" s="84">
        <v>4.2002314814814817E-5</v>
      </c>
      <c r="G14" s="84">
        <v>6.0370370370370372E-5</v>
      </c>
      <c r="H14" s="84">
        <v>4.1412037037037034E-5</v>
      </c>
      <c r="I14" s="84">
        <v>5.9918981481481474E-5</v>
      </c>
      <c r="J14" s="84">
        <v>7.7071759259259259E-5</v>
      </c>
      <c r="K14" s="84">
        <v>7.3599537037037031E-5</v>
      </c>
    </row>
    <row r="15" spans="1:12" x14ac:dyDescent="0.35">
      <c r="B15" s="174"/>
      <c r="C15" s="174"/>
      <c r="D15" s="174"/>
      <c r="E15" s="174"/>
      <c r="F15" s="174"/>
      <c r="G15" s="174"/>
      <c r="H15" s="174"/>
      <c r="I15" s="174"/>
      <c r="J15" s="174"/>
      <c r="K15" s="174"/>
    </row>
    <row r="16" spans="1:12" x14ac:dyDescent="0.35">
      <c r="B16" s="174"/>
      <c r="C16" s="174"/>
      <c r="D16" s="174"/>
      <c r="E16" s="174"/>
      <c r="F16" s="174"/>
      <c r="G16" s="174"/>
      <c r="H16" s="174"/>
      <c r="I16" s="174"/>
      <c r="J16" s="174"/>
      <c r="K16" s="174"/>
    </row>
    <row r="17" spans="1:11" ht="24.5" x14ac:dyDescent="0.35">
      <c r="A17" s="188" t="s">
        <v>182</v>
      </c>
      <c r="B17" s="189" t="s">
        <v>69</v>
      </c>
      <c r="C17" s="190" t="s">
        <v>70</v>
      </c>
      <c r="D17" s="189" t="s">
        <v>71</v>
      </c>
      <c r="E17" s="272" t="s">
        <v>72</v>
      </c>
      <c r="F17" s="189" t="s">
        <v>73</v>
      </c>
      <c r="G17" s="191" t="s">
        <v>74</v>
      </c>
      <c r="H17" s="193" t="s">
        <v>183</v>
      </c>
      <c r="I17" s="192" t="s">
        <v>184</v>
      </c>
      <c r="J17" s="174"/>
      <c r="K17" s="174"/>
    </row>
    <row r="18" spans="1:11" x14ac:dyDescent="0.35">
      <c r="A18" s="187" t="s">
        <v>185</v>
      </c>
      <c r="B18" s="273">
        <v>3.2595601851851848E-3</v>
      </c>
      <c r="C18" s="273">
        <v>1.0381944444444445E-5</v>
      </c>
      <c r="D18" s="273">
        <v>9.8451736111111118E-3</v>
      </c>
      <c r="E18" s="273">
        <v>9.1944444444444449E-5</v>
      </c>
      <c r="F18" s="273">
        <v>4.726851851851852E-4</v>
      </c>
      <c r="G18" s="273">
        <v>2.8626157407407409E-4</v>
      </c>
      <c r="H18" s="273">
        <v>1.3971331018518518E-2</v>
      </c>
      <c r="I18" s="273">
        <v>1.9959027777777779E-3</v>
      </c>
      <c r="J18" s="174"/>
      <c r="K18" s="174"/>
    </row>
    <row r="19" spans="1:11" x14ac:dyDescent="0.35">
      <c r="A19" s="187" t="s">
        <v>186</v>
      </c>
      <c r="B19" s="194">
        <v>2.0463310185185185E-3</v>
      </c>
      <c r="C19" s="194">
        <v>2.337962962962963E-5</v>
      </c>
      <c r="D19" s="194">
        <v>5.4990393518518518E-2</v>
      </c>
      <c r="E19" s="194">
        <v>1.4406249999999998E-4</v>
      </c>
      <c r="F19" s="194">
        <v>2.5889814814814817E-2</v>
      </c>
      <c r="G19" s="194">
        <v>4.7372685185185186E-4</v>
      </c>
      <c r="H19" s="194">
        <v>8.3595601851851845E-2</v>
      </c>
      <c r="I19" s="194">
        <v>1.1942233796296296E-2</v>
      </c>
      <c r="J19" s="174"/>
      <c r="K19" s="174"/>
    </row>
    <row r="20" spans="1:11" x14ac:dyDescent="0.35">
      <c r="A20" s="187" t="s">
        <v>187</v>
      </c>
      <c r="B20" s="194">
        <v>1.6150462962962963E-4</v>
      </c>
      <c r="C20" s="194">
        <v>1.8634259259259258E-5</v>
      </c>
      <c r="D20" s="194">
        <v>1.6885451388888889E-2</v>
      </c>
      <c r="E20" s="194">
        <v>8.6111111111111119E-5</v>
      </c>
      <c r="F20" s="194">
        <v>3.7114583333333335E-4</v>
      </c>
      <c r="G20" s="194">
        <v>2.9375000000000001E-4</v>
      </c>
      <c r="H20" s="194">
        <v>1.7824884259259259E-2</v>
      </c>
      <c r="I20" s="194">
        <v>2.5464120370370371E-3</v>
      </c>
      <c r="J20" s="174"/>
      <c r="K20" s="174"/>
    </row>
    <row r="21" spans="1:11" x14ac:dyDescent="0.35">
      <c r="A21" s="187" t="s">
        <v>188</v>
      </c>
      <c r="B21" s="194">
        <v>1.1727546296296295E-3</v>
      </c>
      <c r="C21" s="194">
        <v>1.6666666666666667E-5</v>
      </c>
      <c r="D21" s="194">
        <v>3.6482291666666668E-3</v>
      </c>
      <c r="E21" s="194">
        <v>9.0358796296296294E-5</v>
      </c>
      <c r="F21" s="194">
        <v>3.1957523148148149E-3</v>
      </c>
      <c r="G21" s="194">
        <v>3.6241898148148147E-4</v>
      </c>
      <c r="H21" s="194">
        <v>8.5024305555555565E-3</v>
      </c>
      <c r="I21" s="194">
        <v>1.2146296296296297E-3</v>
      </c>
      <c r="J21" s="174"/>
      <c r="K21" s="174"/>
    </row>
    <row r="22" spans="1:11" x14ac:dyDescent="0.35">
      <c r="A22" s="187" t="s">
        <v>189</v>
      </c>
      <c r="B22" s="194">
        <v>6.6871527777777784E-4</v>
      </c>
      <c r="C22" s="194">
        <v>7.2916666666666666E-6</v>
      </c>
      <c r="D22" s="194">
        <v>2.3940972222222221E-2</v>
      </c>
      <c r="E22" s="194">
        <v>1.2055555555555557E-4</v>
      </c>
      <c r="F22" s="194">
        <v>2.3719907407407408E-4</v>
      </c>
      <c r="G22" s="194">
        <v>2.8490740740740739E-4</v>
      </c>
      <c r="H22" s="194">
        <v>2.5264895833333335E-2</v>
      </c>
      <c r="I22" s="194">
        <v>3.6092708333333333E-3</v>
      </c>
      <c r="J22" s="174"/>
      <c r="K22" s="174"/>
    </row>
    <row r="23" spans="1:11" x14ac:dyDescent="0.35">
      <c r="A23" s="187" t="s">
        <v>190</v>
      </c>
      <c r="B23" s="194">
        <v>2.5972569444444441E-3</v>
      </c>
      <c r="C23" s="194">
        <v>1.0844907407407409E-5</v>
      </c>
      <c r="D23" s="194">
        <v>3.3123032407407407E-3</v>
      </c>
      <c r="E23" s="194">
        <v>5.4942129629629625E-5</v>
      </c>
      <c r="F23" s="194">
        <v>3.392280092592593E-3</v>
      </c>
      <c r="G23" s="194">
        <v>5.4317129629629624E-5</v>
      </c>
      <c r="H23" s="194">
        <v>9.422337962962964E-3</v>
      </c>
      <c r="I23" s="194">
        <v>1.3460532407407408E-3</v>
      </c>
      <c r="J23" s="174"/>
      <c r="K23" s="174"/>
    </row>
    <row r="24" spans="1:11" x14ac:dyDescent="0.35">
      <c r="A24" s="187" t="s">
        <v>191</v>
      </c>
      <c r="B24" s="194">
        <v>2.9755439814814814E-3</v>
      </c>
      <c r="C24" s="194">
        <v>5.4513888888888891E-5</v>
      </c>
      <c r="D24" s="194">
        <v>3.4380439814814816E-3</v>
      </c>
      <c r="E24" s="194">
        <v>3.3217592592592595E-5</v>
      </c>
      <c r="F24" s="194">
        <v>3.4193287037037039E-3</v>
      </c>
      <c r="G24" s="194">
        <v>3.7387731481481479E-4</v>
      </c>
      <c r="H24" s="194">
        <v>1.0295335648148149E-2</v>
      </c>
      <c r="I24" s="194">
        <v>1.4707638888888889E-3</v>
      </c>
      <c r="J24" s="174"/>
      <c r="K24" s="174"/>
    </row>
    <row r="25" spans="1:11" x14ac:dyDescent="0.35">
      <c r="A25" s="187" t="s">
        <v>192</v>
      </c>
      <c r="B25" s="194">
        <v>9.1435185185185185E-4</v>
      </c>
      <c r="C25" s="194">
        <v>8.3680555555555547E-6</v>
      </c>
      <c r="D25" s="194">
        <v>1.8263888888888887E-4</v>
      </c>
      <c r="E25" s="194">
        <v>9.2326388888888889E-5</v>
      </c>
      <c r="F25" s="194">
        <v>3.2005324074074076E-3</v>
      </c>
      <c r="G25" s="194">
        <v>4.8483796296296296E-4</v>
      </c>
      <c r="H25" s="194">
        <v>4.8909259259259262E-3</v>
      </c>
      <c r="I25" s="194">
        <v>6.9870370370370377E-4</v>
      </c>
      <c r="J25" s="174"/>
      <c r="K25" s="174"/>
    </row>
    <row r="26" spans="1:11" x14ac:dyDescent="0.35">
      <c r="A26" s="187" t="s">
        <v>193</v>
      </c>
      <c r="B26" s="194">
        <v>1.4309490740740741E-3</v>
      </c>
      <c r="C26" s="194">
        <v>8.101851851851852E-6</v>
      </c>
      <c r="D26" s="194">
        <v>7.2483796296296298E-3</v>
      </c>
      <c r="E26" s="194">
        <v>7.5034722222222213E-5</v>
      </c>
      <c r="F26" s="194">
        <v>3.0896990740740741E-3</v>
      </c>
      <c r="G26" s="194">
        <v>4.9077546296296293E-4</v>
      </c>
      <c r="H26" s="194">
        <v>1.2350578703703702E-2</v>
      </c>
      <c r="I26" s="194">
        <v>1.764363425925926E-3</v>
      </c>
      <c r="J26" s="174"/>
      <c r="K26" s="174"/>
    </row>
    <row r="27" spans="1:11" x14ac:dyDescent="0.35">
      <c r="A27" s="187" t="s">
        <v>194</v>
      </c>
      <c r="B27" s="194">
        <v>2.6863425925925926E-3</v>
      </c>
      <c r="C27" s="194">
        <v>4.6481481481481479E-5</v>
      </c>
      <c r="D27" s="194">
        <v>1.4351851851851851E-5</v>
      </c>
      <c r="E27" s="194">
        <v>1.0925925925925925E-5</v>
      </c>
      <c r="F27" s="194">
        <v>3.4041666666666669E-3</v>
      </c>
      <c r="G27" s="194">
        <v>3.6724537037037037E-4</v>
      </c>
      <c r="H27" s="194">
        <v>6.530706018518519E-3</v>
      </c>
      <c r="I27" s="194">
        <v>9.3296296296296302E-4</v>
      </c>
      <c r="J27" s="174"/>
      <c r="K27" s="174"/>
    </row>
    <row r="28" spans="1:11" x14ac:dyDescent="0.35">
      <c r="A28" s="187" t="s">
        <v>195</v>
      </c>
      <c r="B28" s="194">
        <v>2.9920833333333336E-3</v>
      </c>
      <c r="C28" s="194">
        <v>8.9120370370370373E-6</v>
      </c>
      <c r="D28" s="194">
        <v>6.3787037037037041E-3</v>
      </c>
      <c r="E28" s="194">
        <v>9.2824074074074068E-5</v>
      </c>
      <c r="F28" s="194">
        <v>4.6995370370370371E-4</v>
      </c>
      <c r="G28" s="194">
        <v>3.5729166666666667E-4</v>
      </c>
      <c r="H28" s="194">
        <v>1.0304085648148149E-2</v>
      </c>
      <c r="I28" s="194">
        <v>1.4720138888888888E-3</v>
      </c>
      <c r="J28" s="174"/>
      <c r="K28" s="174"/>
    </row>
    <row r="29" spans="1:11" x14ac:dyDescent="0.35">
      <c r="A29" s="187" t="s">
        <v>196</v>
      </c>
      <c r="B29" s="194">
        <v>2.9755439814814814E-3</v>
      </c>
      <c r="C29" s="194">
        <v>5.4513888888888891E-5</v>
      </c>
      <c r="D29" s="194">
        <v>3.4380439814814816E-3</v>
      </c>
      <c r="E29" s="194">
        <v>3.3217592592592595E-5</v>
      </c>
      <c r="F29" s="194">
        <v>3.4193287037037039E-3</v>
      </c>
      <c r="G29" s="194">
        <v>3.7387731481481479E-4</v>
      </c>
      <c r="H29" s="194">
        <v>1.0295335648148149E-2</v>
      </c>
      <c r="I29" s="194">
        <v>1.4707638888888889E-3</v>
      </c>
      <c r="J29" s="174"/>
      <c r="K29" s="174"/>
    </row>
    <row r="30" spans="1:11" x14ac:dyDescent="0.35">
      <c r="A30" s="187" t="s">
        <v>197</v>
      </c>
      <c r="B30" s="194">
        <v>4.0945601851851852E-4</v>
      </c>
      <c r="C30" s="194">
        <v>7.5578703703703711E-6</v>
      </c>
      <c r="D30" s="194">
        <v>2.0373576388888891E-2</v>
      </c>
      <c r="E30" s="194">
        <v>8.7384259259259259E-5</v>
      </c>
      <c r="F30" s="194">
        <v>3.7202546296296295E-4</v>
      </c>
      <c r="G30" s="194">
        <v>2.7832175925925924E-4</v>
      </c>
      <c r="H30" s="194">
        <v>2.153611111111111E-2</v>
      </c>
      <c r="I30" s="194">
        <v>3.0765856481481482E-3</v>
      </c>
      <c r="J30" s="174"/>
      <c r="K30" s="174"/>
    </row>
    <row r="31" spans="1:11" x14ac:dyDescent="0.35">
      <c r="B31" s="174"/>
      <c r="C31" s="174"/>
      <c r="D31" s="174"/>
      <c r="E31" s="174"/>
      <c r="F31" s="174"/>
      <c r="G31" s="174"/>
      <c r="H31" s="174"/>
      <c r="I31" s="174"/>
      <c r="J31" s="174"/>
      <c r="K31" s="174"/>
    </row>
    <row r="32" spans="1:11" x14ac:dyDescent="0.35">
      <c r="B32" s="174"/>
      <c r="C32" s="174"/>
      <c r="D32" s="174"/>
      <c r="E32" s="174"/>
      <c r="F32" s="174"/>
      <c r="G32" s="174"/>
      <c r="H32" s="174"/>
      <c r="I32" s="174"/>
      <c r="J32" s="174"/>
      <c r="K32" s="174"/>
    </row>
    <row r="33" spans="2:14" x14ac:dyDescent="0.35">
      <c r="B33" s="186"/>
      <c r="C33" s="174"/>
      <c r="D33" s="174"/>
      <c r="E33" s="174"/>
      <c r="F33" s="174"/>
      <c r="G33" s="174"/>
      <c r="H33" s="174"/>
      <c r="I33" s="174"/>
      <c r="J33" s="174"/>
      <c r="K33" s="174"/>
      <c r="L33" s="174"/>
      <c r="M33" s="174"/>
      <c r="N33" s="174"/>
    </row>
  </sheetData>
  <mergeCells count="1">
    <mergeCell ref="B4:K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E0364-D723-48B2-B50B-56F84D4B1E23}">
  <dimension ref="A1:AQ52"/>
  <sheetViews>
    <sheetView workbookViewId="0"/>
  </sheetViews>
  <sheetFormatPr defaultColWidth="9.1796875" defaultRowHeight="13" x14ac:dyDescent="0.3"/>
  <cols>
    <col min="1" max="1" width="33.54296875" style="198" bestFit="1" customWidth="1"/>
    <col min="2" max="2" width="34.453125" style="221" bestFit="1" customWidth="1"/>
    <col min="3" max="3" width="23.54296875" style="222" customWidth="1"/>
    <col min="4" max="4" width="20.26953125" style="198" bestFit="1" customWidth="1"/>
    <col min="5" max="5" width="12.453125" style="222" customWidth="1"/>
    <col min="6" max="6" width="21" style="198" bestFit="1" customWidth="1"/>
    <col min="7" max="7" width="14.81640625" style="222" bestFit="1" customWidth="1"/>
    <col min="8" max="8" width="20.81640625" style="198" bestFit="1" customWidth="1"/>
    <col min="9" max="9" width="23.1796875" style="222" customWidth="1"/>
    <col min="10" max="10" width="20.26953125" style="198" bestFit="1" customWidth="1"/>
    <col min="11" max="11" width="31.453125" style="222" bestFit="1" customWidth="1"/>
    <col min="12" max="12" width="15.7265625" style="198" customWidth="1"/>
    <col min="13" max="13" width="17.26953125" style="222" customWidth="1"/>
    <col min="14" max="14" width="15.81640625" style="198" customWidth="1"/>
    <col min="15" max="15" width="9.1796875" style="222"/>
    <col min="16" max="16" width="20.81640625" style="198" bestFit="1" customWidth="1"/>
    <col min="17" max="17" width="14.81640625" style="222" bestFit="1" customWidth="1"/>
    <col min="18" max="18" width="20.54296875" style="198" bestFit="1" customWidth="1"/>
    <col min="19" max="19" width="14.81640625" style="222" bestFit="1" customWidth="1"/>
    <col min="20" max="20" width="20.453125" style="198" bestFit="1" customWidth="1"/>
    <col min="21" max="21" width="14.81640625" style="222" bestFit="1" customWidth="1"/>
    <col min="22" max="16384" width="9.1796875" style="198"/>
  </cols>
  <sheetData>
    <row r="1" spans="1:43" s="195" customFormat="1" x14ac:dyDescent="0.3">
      <c r="A1" s="195" t="s">
        <v>151</v>
      </c>
      <c r="B1" s="195" t="s">
        <v>208</v>
      </c>
      <c r="C1" s="195" t="s">
        <v>209</v>
      </c>
      <c r="D1" s="195" t="s">
        <v>210</v>
      </c>
      <c r="E1" s="195" t="s">
        <v>211</v>
      </c>
      <c r="F1" s="195" t="s">
        <v>212</v>
      </c>
      <c r="G1" s="195" t="s">
        <v>213</v>
      </c>
      <c r="H1" s="195" t="s">
        <v>214</v>
      </c>
      <c r="I1" s="195" t="s">
        <v>215</v>
      </c>
      <c r="J1" s="195" t="s">
        <v>216</v>
      </c>
      <c r="K1" s="195" t="s">
        <v>217</v>
      </c>
      <c r="L1" s="196"/>
      <c r="M1" s="197"/>
      <c r="N1" s="197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</row>
    <row r="2" spans="1:43" s="204" customFormat="1" ht="26" x14ac:dyDescent="0.3">
      <c r="A2" s="199" t="s">
        <v>5</v>
      </c>
      <c r="B2" s="200" t="s">
        <v>218</v>
      </c>
      <c r="C2" s="201" t="s">
        <v>219</v>
      </c>
      <c r="D2" s="201" t="s">
        <v>219</v>
      </c>
      <c r="E2" s="201" t="s">
        <v>219</v>
      </c>
      <c r="F2" s="201" t="s">
        <v>219</v>
      </c>
      <c r="G2" s="201" t="s">
        <v>219</v>
      </c>
      <c r="H2" s="200" t="s">
        <v>220</v>
      </c>
      <c r="I2" s="200" t="s">
        <v>221</v>
      </c>
      <c r="J2" s="201" t="s">
        <v>219</v>
      </c>
      <c r="K2" s="201" t="s">
        <v>219</v>
      </c>
      <c r="L2" s="196"/>
      <c r="M2" s="197"/>
      <c r="N2" s="196"/>
      <c r="O2" s="198"/>
      <c r="P2" s="198"/>
      <c r="Q2" s="198"/>
      <c r="R2" s="198"/>
      <c r="S2" s="198"/>
      <c r="T2" s="198"/>
      <c r="U2" s="198"/>
      <c r="V2" s="198"/>
      <c r="W2" s="198"/>
      <c r="X2" s="198"/>
      <c r="Y2" s="198"/>
      <c r="Z2" s="198"/>
      <c r="AA2" s="198"/>
      <c r="AB2" s="198"/>
      <c r="AC2" s="198"/>
      <c r="AD2" s="198"/>
      <c r="AE2" s="198"/>
      <c r="AF2" s="198"/>
      <c r="AG2" s="198"/>
      <c r="AH2" s="198"/>
      <c r="AI2" s="198"/>
      <c r="AJ2" s="203"/>
      <c r="AK2" s="203"/>
      <c r="AL2" s="203"/>
      <c r="AM2" s="203"/>
      <c r="AN2" s="203"/>
      <c r="AO2" s="203"/>
      <c r="AP2" s="203"/>
      <c r="AQ2" s="203"/>
    </row>
    <row r="3" spans="1:43" s="209" customFormat="1" x14ac:dyDescent="0.3">
      <c r="A3" s="205" t="s">
        <v>67</v>
      </c>
      <c r="B3" s="206"/>
      <c r="C3" s="207"/>
      <c r="D3" s="208"/>
      <c r="E3" s="207"/>
      <c r="F3" s="208"/>
      <c r="G3" s="207"/>
      <c r="H3" s="208"/>
      <c r="I3" s="207"/>
      <c r="J3" s="208"/>
      <c r="K3" s="207"/>
      <c r="L3" s="196"/>
      <c r="M3" s="197"/>
      <c r="N3" s="196"/>
      <c r="O3" s="198"/>
      <c r="P3" s="198"/>
      <c r="Q3" s="198"/>
      <c r="R3" s="198"/>
      <c r="S3" s="198"/>
      <c r="T3" s="198"/>
      <c r="U3" s="198"/>
      <c r="V3" s="198"/>
      <c r="W3" s="198"/>
      <c r="X3" s="198"/>
      <c r="Y3" s="198"/>
      <c r="Z3" s="198"/>
      <c r="AA3" s="198"/>
      <c r="AB3" s="198"/>
      <c r="AC3" s="198"/>
      <c r="AD3" s="198"/>
      <c r="AE3" s="198"/>
      <c r="AF3" s="198"/>
      <c r="AG3" s="198"/>
      <c r="AH3" s="198"/>
      <c r="AI3" s="198"/>
      <c r="AJ3" s="203"/>
      <c r="AK3" s="203"/>
      <c r="AL3" s="203"/>
      <c r="AM3" s="203"/>
      <c r="AN3" s="203"/>
      <c r="AO3" s="203"/>
      <c r="AP3" s="203"/>
      <c r="AQ3" s="203"/>
    </row>
    <row r="4" spans="1:43" s="209" customFormat="1" x14ac:dyDescent="0.3">
      <c r="A4" s="120" t="s">
        <v>69</v>
      </c>
      <c r="B4" s="210">
        <v>2.6349884283263236E-3</v>
      </c>
      <c r="C4" s="211">
        <v>1.8464120366843417E-3</v>
      </c>
      <c r="D4" s="212">
        <v>1.2625462986761704E-3</v>
      </c>
      <c r="E4" s="211">
        <v>9.1428240557434037E-4</v>
      </c>
      <c r="F4" s="211">
        <v>5.1215277926530689E-4</v>
      </c>
      <c r="G4" s="211">
        <v>5.2048613724764436E-5</v>
      </c>
      <c r="H4" s="211">
        <v>2.9864120369893499E-3</v>
      </c>
      <c r="I4" s="211">
        <v>2.5385069457115605E-3</v>
      </c>
      <c r="J4" s="211">
        <v>2.056631950836163E-3</v>
      </c>
      <c r="K4" s="211">
        <v>1.7816319450503215E-3</v>
      </c>
      <c r="L4" s="196"/>
      <c r="M4" s="197"/>
      <c r="N4" s="196"/>
      <c r="O4" s="198"/>
      <c r="P4" s="198"/>
      <c r="Q4" s="198"/>
      <c r="R4" s="198"/>
      <c r="S4" s="198"/>
      <c r="T4" s="198"/>
      <c r="U4" s="198"/>
      <c r="V4" s="198"/>
      <c r="W4" s="198"/>
      <c r="X4" s="198"/>
      <c r="Y4" s="198"/>
      <c r="Z4" s="198"/>
      <c r="AA4" s="198"/>
      <c r="AB4" s="198"/>
      <c r="AC4" s="198"/>
      <c r="AD4" s="198"/>
      <c r="AE4" s="198"/>
      <c r="AF4" s="198"/>
      <c r="AG4" s="198"/>
      <c r="AH4" s="198"/>
      <c r="AI4" s="198"/>
      <c r="AJ4" s="203"/>
      <c r="AK4" s="203"/>
      <c r="AL4" s="203"/>
      <c r="AM4" s="203"/>
      <c r="AN4" s="203"/>
      <c r="AO4" s="203"/>
      <c r="AP4" s="203"/>
      <c r="AQ4" s="203"/>
    </row>
    <row r="5" spans="1:43" s="209" customFormat="1" x14ac:dyDescent="0.3">
      <c r="A5" s="213" t="s">
        <v>70</v>
      </c>
      <c r="B5" s="212">
        <v>5.2812494686804712E-5</v>
      </c>
      <c r="C5" s="211">
        <v>5.0196758820675313E-5</v>
      </c>
      <c r="D5" s="212">
        <v>8.5486113675870001E-5</v>
      </c>
      <c r="E5" s="211">
        <v>9.0462963271420449E-5</v>
      </c>
      <c r="F5" s="211">
        <v>7.7118056651670486E-5</v>
      </c>
      <c r="G5" s="211">
        <v>8.2986109191551805E-5</v>
      </c>
      <c r="H5" s="211">
        <v>3.6307865229900926E-5</v>
      </c>
      <c r="I5" s="211">
        <v>7.468750118277967E-5</v>
      </c>
      <c r="J5" s="211">
        <v>6.7129629314877093E-5</v>
      </c>
      <c r="K5" s="211">
        <v>4.6921297325752676E-5</v>
      </c>
      <c r="L5" s="196"/>
      <c r="M5" s="197"/>
      <c r="N5" s="196"/>
      <c r="O5" s="198"/>
      <c r="P5" s="198"/>
      <c r="Q5" s="198"/>
      <c r="R5" s="198"/>
      <c r="S5" s="198"/>
      <c r="T5" s="198"/>
      <c r="U5" s="198"/>
      <c r="V5" s="198"/>
      <c r="W5" s="198"/>
      <c r="X5" s="198"/>
      <c r="Y5" s="198"/>
      <c r="Z5" s="198"/>
      <c r="AA5" s="198"/>
      <c r="AB5" s="198"/>
      <c r="AC5" s="198"/>
      <c r="AD5" s="198"/>
      <c r="AE5" s="198"/>
      <c r="AF5" s="198"/>
      <c r="AG5" s="198"/>
      <c r="AH5" s="198"/>
      <c r="AI5" s="198"/>
      <c r="AJ5" s="203"/>
      <c r="AK5" s="203"/>
      <c r="AL5" s="203"/>
      <c r="AM5" s="203"/>
      <c r="AN5" s="203"/>
      <c r="AO5" s="203"/>
      <c r="AP5" s="203"/>
      <c r="AQ5" s="203"/>
    </row>
    <row r="6" spans="1:43" s="209" customFormat="1" x14ac:dyDescent="0.3">
      <c r="A6" s="120" t="s">
        <v>71</v>
      </c>
      <c r="B6" s="214">
        <v>3.2053240793175064E-3</v>
      </c>
      <c r="C6" s="211">
        <v>8.0132604169193655E-2</v>
      </c>
      <c r="D6" s="212">
        <v>0.11097265045827953</v>
      </c>
      <c r="E6" s="211">
        <v>9.5816134256892838E-2</v>
      </c>
      <c r="F6" s="211">
        <v>0.1410705671296455</v>
      </c>
      <c r="G6" s="211">
        <v>0.12579120370355668</v>
      </c>
      <c r="H6" s="211">
        <v>1.4440543985983822E-2</v>
      </c>
      <c r="I6" s="211">
        <v>3.0005833330505993E-2</v>
      </c>
      <c r="J6" s="211">
        <v>4.5085648147505708E-2</v>
      </c>
      <c r="K6" s="211">
        <v>6.0909837957296986E-2</v>
      </c>
      <c r="L6" s="196"/>
      <c r="M6" s="197"/>
      <c r="N6" s="196"/>
      <c r="O6" s="198"/>
      <c r="P6" s="198"/>
      <c r="Q6" s="198"/>
      <c r="R6" s="198"/>
      <c r="S6" s="198"/>
      <c r="T6" s="198"/>
      <c r="U6" s="198"/>
      <c r="V6" s="198"/>
      <c r="W6" s="198"/>
      <c r="X6" s="198"/>
      <c r="Y6" s="198"/>
      <c r="Z6" s="198"/>
      <c r="AA6" s="198"/>
      <c r="AB6" s="198"/>
      <c r="AC6" s="198"/>
      <c r="AD6" s="198"/>
      <c r="AE6" s="198"/>
      <c r="AF6" s="198"/>
      <c r="AG6" s="198"/>
      <c r="AH6" s="198"/>
      <c r="AI6" s="198"/>
      <c r="AJ6" s="203"/>
      <c r="AK6" s="203"/>
      <c r="AL6" s="203"/>
      <c r="AM6" s="203"/>
      <c r="AN6" s="203"/>
      <c r="AO6" s="203"/>
      <c r="AP6" s="203"/>
      <c r="AQ6" s="203"/>
    </row>
    <row r="7" spans="1:43" s="209" customFormat="1" x14ac:dyDescent="0.3">
      <c r="A7" s="215" t="s">
        <v>72</v>
      </c>
      <c r="B7" s="212">
        <v>1.4341087960929144E-2</v>
      </c>
      <c r="C7" s="211">
        <v>1.5564351851935498E-2</v>
      </c>
      <c r="D7" s="212">
        <v>1.4724571759870742E-2</v>
      </c>
      <c r="E7" s="211">
        <v>1.5145173609198537E-2</v>
      </c>
      <c r="F7" s="211">
        <v>1.4894016203470528E-2</v>
      </c>
      <c r="G7" s="211">
        <v>1.5265046291460749E-2</v>
      </c>
      <c r="H7" s="211">
        <v>1.5402430552057922E-2</v>
      </c>
      <c r="I7" s="211">
        <v>1.5065312501974404E-2</v>
      </c>
      <c r="J7" s="211">
        <v>1.5745138887723442E-2</v>
      </c>
      <c r="K7" s="211">
        <v>1.584370370983379E-2</v>
      </c>
      <c r="L7" s="196"/>
      <c r="M7" s="197"/>
      <c r="N7" s="196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8"/>
      <c r="AB7" s="198"/>
      <c r="AC7" s="198"/>
      <c r="AD7" s="198"/>
      <c r="AE7" s="198"/>
      <c r="AF7" s="198"/>
      <c r="AG7" s="198"/>
      <c r="AH7" s="198"/>
      <c r="AI7" s="198"/>
      <c r="AJ7" s="203"/>
      <c r="AK7" s="203"/>
      <c r="AL7" s="203"/>
      <c r="AM7" s="203"/>
      <c r="AN7" s="203"/>
      <c r="AO7" s="203"/>
      <c r="AP7" s="203"/>
      <c r="AQ7" s="203"/>
    </row>
    <row r="8" spans="1:43" s="209" customFormat="1" x14ac:dyDescent="0.3">
      <c r="A8" s="120" t="s">
        <v>73</v>
      </c>
      <c r="B8" s="212">
        <v>3.5633101870189421E-3</v>
      </c>
      <c r="C8" s="211">
        <v>1.3736875000176951E-2</v>
      </c>
      <c r="D8" s="212">
        <v>3.8861574066686444E-3</v>
      </c>
      <c r="E8" s="211">
        <v>7.9088460654020309E-2</v>
      </c>
      <c r="F8" s="211">
        <v>1.4223425925592892E-2</v>
      </c>
      <c r="G8" s="211">
        <v>8.8820138917071745E-3</v>
      </c>
      <c r="H8" s="211">
        <v>1.3779444445390254E-2</v>
      </c>
      <c r="I8" s="211">
        <v>0.16159864583460148</v>
      </c>
      <c r="J8" s="211">
        <v>4.8337962944060564E-3</v>
      </c>
      <c r="K8" s="211">
        <v>9.2458333310787566E-3</v>
      </c>
      <c r="L8" s="196"/>
      <c r="M8" s="197"/>
      <c r="N8" s="196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  <c r="AA8" s="198"/>
      <c r="AB8" s="198"/>
      <c r="AC8" s="198"/>
      <c r="AD8" s="198"/>
      <c r="AE8" s="198"/>
      <c r="AF8" s="198"/>
      <c r="AG8" s="198"/>
      <c r="AH8" s="198"/>
      <c r="AI8" s="198"/>
      <c r="AJ8" s="203"/>
      <c r="AK8" s="203"/>
      <c r="AL8" s="203"/>
      <c r="AM8" s="203"/>
      <c r="AN8" s="203"/>
      <c r="AO8" s="203"/>
      <c r="AP8" s="203"/>
      <c r="AQ8" s="203"/>
    </row>
    <row r="9" spans="1:43" s="209" customFormat="1" x14ac:dyDescent="0.3">
      <c r="A9" s="216" t="s">
        <v>74</v>
      </c>
      <c r="B9" s="212">
        <v>2.5648888884461485E-2</v>
      </c>
      <c r="C9" s="211">
        <v>2.0083680552488659E-2</v>
      </c>
      <c r="D9" s="212">
        <v>2.0262187499611173E-2</v>
      </c>
      <c r="E9" s="211">
        <v>2.0037314810906537E-2</v>
      </c>
      <c r="F9" s="211">
        <v>1.9951504626078531E-2</v>
      </c>
      <c r="G9" s="211">
        <v>2.0238159719156101E-2</v>
      </c>
      <c r="H9" s="211">
        <v>2.1989074077282567E-2</v>
      </c>
      <c r="I9" s="211">
        <v>1.9999965275928844E-2</v>
      </c>
      <c r="J9" s="211">
        <v>2.0174421297269873E-2</v>
      </c>
      <c r="K9" s="211">
        <v>2.0037928239617031E-2</v>
      </c>
      <c r="L9" s="196"/>
      <c r="M9" s="197"/>
      <c r="N9" s="196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  <c r="AA9" s="198"/>
      <c r="AB9" s="198"/>
      <c r="AC9" s="198"/>
      <c r="AD9" s="198"/>
      <c r="AE9" s="198"/>
      <c r="AF9" s="198"/>
      <c r="AG9" s="198"/>
      <c r="AH9" s="198"/>
      <c r="AI9" s="198"/>
      <c r="AJ9" s="203"/>
      <c r="AK9" s="203"/>
      <c r="AL9" s="203"/>
      <c r="AM9" s="203"/>
      <c r="AN9" s="203"/>
      <c r="AO9" s="203"/>
      <c r="AP9" s="203"/>
      <c r="AQ9" s="203"/>
    </row>
    <row r="10" spans="1:43" s="209" customFormat="1" x14ac:dyDescent="0.3">
      <c r="A10" s="120" t="s">
        <v>75</v>
      </c>
      <c r="B10" s="217" t="s">
        <v>9</v>
      </c>
      <c r="C10" s="218" t="s">
        <v>9</v>
      </c>
      <c r="D10" s="218" t="s">
        <v>9</v>
      </c>
      <c r="E10" s="218" t="s">
        <v>9</v>
      </c>
      <c r="F10" s="211" t="s">
        <v>9</v>
      </c>
      <c r="G10" s="211" t="s">
        <v>9</v>
      </c>
      <c r="H10" s="211" t="s">
        <v>9</v>
      </c>
      <c r="I10" s="211" t="s">
        <v>9</v>
      </c>
      <c r="J10" s="211" t="s">
        <v>9</v>
      </c>
      <c r="K10" s="211" t="s">
        <v>9</v>
      </c>
      <c r="L10" s="196"/>
      <c r="M10" s="197"/>
      <c r="N10" s="196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203"/>
      <c r="AK10" s="203"/>
      <c r="AL10" s="203"/>
      <c r="AM10" s="203"/>
      <c r="AN10" s="203"/>
      <c r="AO10" s="203"/>
      <c r="AP10" s="203"/>
      <c r="AQ10" s="203"/>
    </row>
    <row r="11" spans="1:43" s="209" customFormat="1" x14ac:dyDescent="0.3">
      <c r="A11" s="199" t="s">
        <v>76</v>
      </c>
      <c r="B11" s="217" t="s">
        <v>9</v>
      </c>
      <c r="C11" s="218" t="s">
        <v>9</v>
      </c>
      <c r="D11" s="218" t="s">
        <v>9</v>
      </c>
      <c r="E11" s="218" t="s">
        <v>9</v>
      </c>
      <c r="F11" s="211" t="s">
        <v>9</v>
      </c>
      <c r="G11" s="211" t="s">
        <v>9</v>
      </c>
      <c r="H11" s="211" t="s">
        <v>9</v>
      </c>
      <c r="I11" s="211" t="s">
        <v>9</v>
      </c>
      <c r="J11" s="211" t="s">
        <v>9</v>
      </c>
      <c r="K11" s="211" t="s">
        <v>9</v>
      </c>
      <c r="L11" s="196"/>
      <c r="M11" s="197"/>
      <c r="N11" s="196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203"/>
      <c r="AK11" s="203"/>
      <c r="AL11" s="203"/>
      <c r="AM11" s="203"/>
      <c r="AN11" s="203"/>
      <c r="AO11" s="203"/>
      <c r="AP11" s="203"/>
      <c r="AQ11" s="203"/>
    </row>
    <row r="12" spans="1:43" s="209" customFormat="1" ht="26" x14ac:dyDescent="0.3">
      <c r="A12" s="219" t="s">
        <v>181</v>
      </c>
      <c r="B12" s="246">
        <v>4.9450034719484393E-2</v>
      </c>
      <c r="C12" s="211">
        <v>0.13141909722617129</v>
      </c>
      <c r="D12" s="212">
        <v>0.15119733796746004</v>
      </c>
      <c r="E12" s="211">
        <v>0.21109518517914694</v>
      </c>
      <c r="F12" s="211">
        <v>0.1907324421335943</v>
      </c>
      <c r="G12" s="211">
        <v>0.1703151273104595</v>
      </c>
      <c r="H12" s="211">
        <v>6.8638657401606906E-2</v>
      </c>
      <c r="I12" s="247">
        <v>0.22928619213053025</v>
      </c>
      <c r="J12" s="211">
        <v>8.7965659724432044E-2</v>
      </c>
      <c r="K12" s="211">
        <v>0.10786917823861586</v>
      </c>
      <c r="L12" s="196"/>
      <c r="M12" s="197"/>
      <c r="N12" s="196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203"/>
      <c r="AK12" s="203"/>
      <c r="AL12" s="203"/>
      <c r="AM12" s="203"/>
      <c r="AN12" s="203"/>
      <c r="AO12" s="203"/>
      <c r="AP12" s="203"/>
      <c r="AQ12" s="203"/>
    </row>
    <row r="13" spans="1:43" s="209" customFormat="1" x14ac:dyDescent="0.3">
      <c r="A13" s="220" t="s">
        <v>78</v>
      </c>
      <c r="B13" s="246">
        <v>2.4725017359742195E-5</v>
      </c>
      <c r="C13" s="211">
        <v>6.5709548613085642E-5</v>
      </c>
      <c r="D13" s="212">
        <v>7.5598668983730015E-5</v>
      </c>
      <c r="E13" s="211">
        <v>1.0554759258957346E-4</v>
      </c>
      <c r="F13" s="211">
        <v>9.5366221066797146E-5</v>
      </c>
      <c r="G13" s="211">
        <v>8.5157563655229748E-5</v>
      </c>
      <c r="H13" s="211">
        <v>3.4319328700803455E-5</v>
      </c>
      <c r="I13" s="247">
        <v>1.1464309606526512E-4</v>
      </c>
      <c r="J13" s="211">
        <v>4.3982829862216021E-5</v>
      </c>
      <c r="K13" s="211">
        <v>5.3934589119307931E-5</v>
      </c>
      <c r="L13" s="196"/>
      <c r="M13" s="197"/>
      <c r="N13" s="196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203"/>
      <c r="AK13" s="203"/>
      <c r="AL13" s="203"/>
      <c r="AM13" s="203"/>
      <c r="AN13" s="203"/>
      <c r="AO13" s="203"/>
      <c r="AP13" s="203"/>
      <c r="AQ13" s="203"/>
    </row>
    <row r="14" spans="1:43" x14ac:dyDescent="0.3">
      <c r="O14" s="198"/>
      <c r="Q14" s="198"/>
      <c r="S14" s="198"/>
      <c r="U14" s="198"/>
    </row>
    <row r="15" spans="1:43" s="223" customFormat="1" x14ac:dyDescent="0.3">
      <c r="A15" s="195" t="s">
        <v>222</v>
      </c>
      <c r="B15" s="223" t="s">
        <v>223</v>
      </c>
      <c r="C15" s="223" t="s">
        <v>224</v>
      </c>
      <c r="D15" s="223" t="s">
        <v>225</v>
      </c>
      <c r="E15" s="223" t="s">
        <v>226</v>
      </c>
      <c r="F15" s="223" t="s">
        <v>227</v>
      </c>
      <c r="G15" s="223" t="s">
        <v>228</v>
      </c>
      <c r="H15" s="223" t="s">
        <v>229</v>
      </c>
      <c r="I15" s="223" t="s">
        <v>230</v>
      </c>
      <c r="J15" s="223" t="s">
        <v>231</v>
      </c>
      <c r="K15" s="223" t="s">
        <v>232</v>
      </c>
      <c r="L15" s="223" t="s">
        <v>233</v>
      </c>
      <c r="M15" s="223" t="s">
        <v>234</v>
      </c>
      <c r="N15" s="223" t="s">
        <v>235</v>
      </c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</row>
    <row r="16" spans="1:43" x14ac:dyDescent="0.3">
      <c r="A16" s="224" t="s">
        <v>236</v>
      </c>
      <c r="B16" s="212">
        <v>0.85171296296296295</v>
      </c>
      <c r="C16" s="212">
        <v>0.8742361111111111</v>
      </c>
      <c r="D16" s="212">
        <v>0.88170138888888894</v>
      </c>
      <c r="E16" s="212">
        <v>0.84403935185185186</v>
      </c>
      <c r="F16" s="212">
        <v>0.85930555555555554</v>
      </c>
      <c r="G16" s="212">
        <v>0.87049768518518522</v>
      </c>
      <c r="H16" s="212">
        <v>0.87797453703703698</v>
      </c>
      <c r="I16" s="212">
        <v>0.86675925925925923</v>
      </c>
      <c r="J16" s="212">
        <v>0.85543981481481479</v>
      </c>
      <c r="K16" s="212">
        <v>0.88928240740740738</v>
      </c>
      <c r="L16" s="212">
        <v>0.8855439814814815</v>
      </c>
      <c r="M16" s="212">
        <v>0.84778935185185189</v>
      </c>
      <c r="N16" s="212">
        <v>0.86302083333333335</v>
      </c>
    </row>
    <row r="17" spans="1:14" x14ac:dyDescent="0.3">
      <c r="A17" s="225" t="s">
        <v>237</v>
      </c>
      <c r="B17" s="212">
        <v>2.4537037037037036E-3</v>
      </c>
      <c r="C17" s="212">
        <v>7.7546296296296293E-4</v>
      </c>
      <c r="D17" s="212">
        <v>2.4305555555555555E-4</v>
      </c>
      <c r="E17" s="212">
        <v>3.1944444444444446E-3</v>
      </c>
      <c r="F17" s="212">
        <v>1.8055555555555555E-3</v>
      </c>
      <c r="G17" s="212">
        <v>1.0416666666666667E-3</v>
      </c>
      <c r="H17" s="212">
        <v>4.9768518518518521E-4</v>
      </c>
      <c r="I17" s="212">
        <v>1.3078703703703703E-3</v>
      </c>
      <c r="J17" s="212">
        <v>2.1990740740740742E-3</v>
      </c>
      <c r="K17" s="212">
        <v>3.0787037037037037E-3</v>
      </c>
      <c r="L17" s="212">
        <v>3.3564814814814816E-3</v>
      </c>
      <c r="M17" s="212">
        <v>2.9166666666666668E-3</v>
      </c>
      <c r="N17" s="212">
        <v>1.736111111111111E-3</v>
      </c>
    </row>
    <row r="18" spans="1:14" x14ac:dyDescent="0.3">
      <c r="A18" s="213" t="s">
        <v>238</v>
      </c>
      <c r="B18" s="212">
        <v>1.1574074074074073E-5</v>
      </c>
      <c r="C18" s="212">
        <v>1.1574074074074073E-5</v>
      </c>
      <c r="D18" s="212">
        <v>1.1574074074074073E-5</v>
      </c>
      <c r="E18" s="212">
        <v>6.9444444444444444E-5</v>
      </c>
      <c r="F18" s="212">
        <v>1.1574074074074073E-5</v>
      </c>
      <c r="G18" s="212">
        <v>1.1574074074074073E-5</v>
      </c>
      <c r="H18" s="212">
        <v>1.1574074074074073E-5</v>
      </c>
      <c r="I18" s="212">
        <v>3.4722222222222222E-5</v>
      </c>
      <c r="J18" s="212">
        <v>1.1574074074074073E-5</v>
      </c>
      <c r="K18" s="212">
        <v>1.1574074074074073E-5</v>
      </c>
      <c r="L18" s="212">
        <v>2.3148148148148147E-5</v>
      </c>
      <c r="M18" s="212">
        <v>1.1574074074074073E-5</v>
      </c>
      <c r="N18" s="212">
        <v>2.3148148148148147E-5</v>
      </c>
    </row>
    <row r="19" spans="1:14" x14ac:dyDescent="0.3">
      <c r="A19" s="225" t="s">
        <v>237</v>
      </c>
      <c r="B19" s="212">
        <v>3.472222222222222E-3</v>
      </c>
      <c r="C19" s="212">
        <v>7.5231481481481477E-3</v>
      </c>
      <c r="D19" s="212">
        <v>4.6296296296296298E-4</v>
      </c>
      <c r="E19" s="212">
        <v>3.425925925925926E-3</v>
      </c>
      <c r="F19" s="212">
        <v>3.472222222222222E-3</v>
      </c>
      <c r="G19" s="212">
        <v>1.1064814814814816E-2</v>
      </c>
      <c r="H19" s="212">
        <v>4.0046296296296297E-3</v>
      </c>
      <c r="I19" s="212">
        <v>7.677083333333333E-2</v>
      </c>
      <c r="J19" s="212">
        <v>2.3148148148148147E-5</v>
      </c>
      <c r="K19" s="212">
        <v>5.6944444444444447E-3</v>
      </c>
      <c r="L19" s="212">
        <v>9.2129629629629627E-3</v>
      </c>
      <c r="M19" s="212">
        <v>8.1018518518518516E-5</v>
      </c>
      <c r="N19" s="212">
        <v>9.5729166666666671E-2</v>
      </c>
    </row>
    <row r="20" spans="1:14" x14ac:dyDescent="0.3">
      <c r="A20" s="215" t="s">
        <v>239</v>
      </c>
      <c r="B20" s="212">
        <v>2.3148148148148147E-5</v>
      </c>
      <c r="C20" s="212">
        <v>4.6296296296296294E-5</v>
      </c>
      <c r="D20" s="212">
        <v>5.7870370370370373E-5</v>
      </c>
      <c r="E20" s="212">
        <v>5.7870370370370373E-5</v>
      </c>
      <c r="F20" s="212">
        <v>2.3148148148148147E-5</v>
      </c>
      <c r="G20" s="212">
        <v>4.6296296296296294E-5</v>
      </c>
      <c r="H20" s="212">
        <v>4.6296296296296294E-5</v>
      </c>
      <c r="I20" s="212">
        <v>6.9444444444444444E-5</v>
      </c>
      <c r="J20" s="212">
        <v>1.1574074074074073E-5</v>
      </c>
      <c r="K20" s="212">
        <v>4.6296296296296294E-5</v>
      </c>
      <c r="L20" s="212">
        <v>4.6296296296296294E-5</v>
      </c>
      <c r="M20" s="212">
        <v>1.1574074074074073E-5</v>
      </c>
      <c r="N20" s="212">
        <v>4.6296296296296294E-5</v>
      </c>
    </row>
    <row r="21" spans="1:14" x14ac:dyDescent="0.3">
      <c r="A21" s="225" t="s">
        <v>237</v>
      </c>
      <c r="B21" s="212">
        <v>3.6689814814814814E-3</v>
      </c>
      <c r="C21" s="212">
        <v>2.9861111111111113E-3</v>
      </c>
      <c r="D21" s="212">
        <v>3.3680555555555556E-3</v>
      </c>
      <c r="E21" s="212">
        <v>3.6458333333333334E-3</v>
      </c>
      <c r="F21" s="212">
        <v>3.4375E-3</v>
      </c>
      <c r="G21" s="212">
        <v>2.7662037037037039E-3</v>
      </c>
      <c r="H21" s="212">
        <v>3.1828703703703702E-3</v>
      </c>
      <c r="I21" s="212">
        <v>9.0856481481481483E-3</v>
      </c>
      <c r="J21" s="212">
        <v>3.425925925925926E-3</v>
      </c>
      <c r="K21" s="212">
        <v>1.361111111111111E-2</v>
      </c>
      <c r="L21" s="212">
        <v>1.3449074074074073E-2</v>
      </c>
      <c r="M21" s="212">
        <v>3.3680555555555556E-3</v>
      </c>
      <c r="N21" s="212">
        <v>1.3587962962962963E-2</v>
      </c>
    </row>
    <row r="22" spans="1:14" x14ac:dyDescent="0.3">
      <c r="A22" s="216" t="s">
        <v>240</v>
      </c>
      <c r="B22" s="212">
        <v>1.8518518518518518E-4</v>
      </c>
      <c r="C22" s="212">
        <v>1.1493055555555555E-2</v>
      </c>
      <c r="D22" s="212">
        <v>4.2708333333333331E-3</v>
      </c>
      <c r="E22" s="212">
        <v>1.8518518518518518E-4</v>
      </c>
      <c r="F22" s="212">
        <v>1.273148148148148E-4</v>
      </c>
      <c r="G22" s="212">
        <v>1.5046296296296297E-4</v>
      </c>
      <c r="H22" s="212">
        <v>1.273148148148148E-4</v>
      </c>
      <c r="I22" s="212">
        <v>8.1018518518518516E-5</v>
      </c>
      <c r="J22" s="212">
        <v>2.3148148148148149E-4</v>
      </c>
      <c r="K22" s="212">
        <v>1.0416666666666667E-4</v>
      </c>
      <c r="L22" s="212">
        <v>1.0416666666666667E-4</v>
      </c>
      <c r="M22" s="212">
        <v>2.5462962962962961E-4</v>
      </c>
      <c r="N22" s="212">
        <v>9.2592592592592588E-5</v>
      </c>
    </row>
    <row r="23" spans="1:14" x14ac:dyDescent="0.3">
      <c r="A23" s="225" t="s">
        <v>241</v>
      </c>
      <c r="B23" s="212">
        <v>9.5949074074074079E-3</v>
      </c>
      <c r="C23" s="212">
        <v>1.1284722222222222E-2</v>
      </c>
      <c r="D23" s="212">
        <v>4.0856481481481481E-3</v>
      </c>
      <c r="E23" s="212">
        <v>1.0266203703703704E-2</v>
      </c>
      <c r="F23" s="212">
        <v>8.7152777777777784E-3</v>
      </c>
      <c r="G23" s="212">
        <v>1.4861111111111111E-2</v>
      </c>
      <c r="H23" s="212">
        <v>7.6851851851851855E-3</v>
      </c>
      <c r="I23" s="212">
        <v>8.7175925925925921E-2</v>
      </c>
      <c r="J23" s="212">
        <v>5.6481481481481478E-3</v>
      </c>
      <c r="K23" s="212">
        <v>2.2395833333333334E-2</v>
      </c>
      <c r="L23" s="212">
        <v>2.6018518518518517E-2</v>
      </c>
      <c r="M23" s="212">
        <v>6.3657407407407404E-3</v>
      </c>
      <c r="N23" s="212">
        <v>0.11105324074074074</v>
      </c>
    </row>
    <row r="24" spans="1:14" x14ac:dyDescent="0.3">
      <c r="A24" s="224" t="s">
        <v>242</v>
      </c>
      <c r="B24" s="212">
        <v>2.199074074074074E-4</v>
      </c>
      <c r="C24" s="212">
        <v>1.1550925925925926E-2</v>
      </c>
      <c r="D24" s="212">
        <v>4.340277777777778E-3</v>
      </c>
      <c r="E24" s="212">
        <v>3.1250000000000001E-4</v>
      </c>
      <c r="F24" s="212">
        <v>1.6203703703703703E-4</v>
      </c>
      <c r="G24" s="212">
        <v>2.199074074074074E-4</v>
      </c>
      <c r="H24" s="212">
        <v>1.8518518518518518E-4</v>
      </c>
      <c r="I24" s="212">
        <v>1.8518518518518518E-4</v>
      </c>
      <c r="J24" s="212">
        <v>2.5462962962962961E-4</v>
      </c>
      <c r="K24" s="212">
        <v>1.6203703703703703E-4</v>
      </c>
      <c r="L24" s="212">
        <v>1.7361111111111112E-4</v>
      </c>
      <c r="M24" s="212">
        <v>2.7777777777777778E-4</v>
      </c>
      <c r="N24" s="212">
        <v>1.7361111111111112E-4</v>
      </c>
    </row>
    <row r="25" spans="1:14" ht="26" x14ac:dyDescent="0.3">
      <c r="A25" s="240" t="s">
        <v>181</v>
      </c>
      <c r="B25" s="217">
        <v>9.8148148148148144E-3</v>
      </c>
      <c r="C25" s="217">
        <v>2.2835648148148147E-2</v>
      </c>
      <c r="D25" s="217">
        <v>8.4259259259259253E-3</v>
      </c>
      <c r="E25" s="217">
        <v>1.0578703703703703E-2</v>
      </c>
      <c r="F25" s="217">
        <v>8.8773148148148153E-3</v>
      </c>
      <c r="G25" s="217">
        <v>1.5081018518518518E-2</v>
      </c>
      <c r="H25" s="217">
        <v>7.8703703703703696E-3</v>
      </c>
      <c r="I25" s="217">
        <v>8.7349537037037031E-2</v>
      </c>
      <c r="J25" s="244">
        <v>5.9027777777777776E-3</v>
      </c>
      <c r="K25" s="217">
        <v>2.255787037037037E-2</v>
      </c>
      <c r="L25" s="217">
        <v>2.6192129629629631E-2</v>
      </c>
      <c r="M25" s="217">
        <v>6.6435185185185182E-3</v>
      </c>
      <c r="N25" s="245">
        <v>0.11121527777777777</v>
      </c>
    </row>
    <row r="26" spans="1:14" x14ac:dyDescent="0.3">
      <c r="A26" s="199" t="s">
        <v>78</v>
      </c>
      <c r="B26" s="212">
        <f>B25/7</f>
        <v>1.4021164021164022E-3</v>
      </c>
      <c r="C26" s="212">
        <f t="shared" ref="C26:N26" si="0">C25/7</f>
        <v>3.2622354497354495E-3</v>
      </c>
      <c r="D26" s="212">
        <f t="shared" si="0"/>
        <v>1.2037037037037036E-3</v>
      </c>
      <c r="E26" s="212">
        <f t="shared" si="0"/>
        <v>1.5112433862433862E-3</v>
      </c>
      <c r="F26" s="212">
        <f t="shared" si="0"/>
        <v>1.2681878306878309E-3</v>
      </c>
      <c r="G26" s="212">
        <f t="shared" si="0"/>
        <v>2.154431216931217E-3</v>
      </c>
      <c r="H26" s="212">
        <f t="shared" si="0"/>
        <v>1.1243386243386243E-3</v>
      </c>
      <c r="I26" s="243">
        <f t="shared" si="0"/>
        <v>1.247850529100529E-2</v>
      </c>
      <c r="J26" s="242">
        <f t="shared" si="0"/>
        <v>8.4325396825396819E-4</v>
      </c>
      <c r="K26" s="212">
        <f t="shared" si="0"/>
        <v>3.2225529100529103E-3</v>
      </c>
      <c r="L26" s="212">
        <f t="shared" si="0"/>
        <v>3.7417328042328043E-3</v>
      </c>
      <c r="M26" s="212">
        <f t="shared" si="0"/>
        <v>9.4907407407407408E-4</v>
      </c>
      <c r="N26" s="241">
        <f t="shared" si="0"/>
        <v>1.5887896825396826E-2</v>
      </c>
    </row>
    <row r="28" spans="1:14" x14ac:dyDescent="0.3">
      <c r="A28" s="226" t="s">
        <v>243</v>
      </c>
      <c r="B28" s="227" t="s">
        <v>244</v>
      </c>
      <c r="C28" s="228" t="s">
        <v>245</v>
      </c>
      <c r="D28" s="229"/>
    </row>
    <row r="29" spans="1:14" x14ac:dyDescent="0.3">
      <c r="A29" s="230" t="s">
        <v>246</v>
      </c>
      <c r="B29" s="239" t="s">
        <v>208</v>
      </c>
      <c r="C29" s="202" t="s">
        <v>247</v>
      </c>
      <c r="D29" s="232" t="s">
        <v>248</v>
      </c>
    </row>
    <row r="30" spans="1:14" x14ac:dyDescent="0.3">
      <c r="A30" s="230" t="s">
        <v>249</v>
      </c>
      <c r="B30" s="239" t="s">
        <v>209</v>
      </c>
      <c r="C30" s="233" t="s">
        <v>219</v>
      </c>
      <c r="D30" s="234"/>
    </row>
    <row r="31" spans="1:14" x14ac:dyDescent="0.3">
      <c r="A31" s="230" t="s">
        <v>250</v>
      </c>
      <c r="B31" s="239" t="s">
        <v>210</v>
      </c>
      <c r="C31" s="233" t="s">
        <v>219</v>
      </c>
      <c r="D31" s="234"/>
    </row>
    <row r="32" spans="1:14" x14ac:dyDescent="0.3">
      <c r="A32" s="230" t="s">
        <v>251</v>
      </c>
      <c r="B32" s="239" t="s">
        <v>211</v>
      </c>
      <c r="C32" s="233" t="s">
        <v>219</v>
      </c>
      <c r="D32" s="234"/>
    </row>
    <row r="33" spans="1:4" x14ac:dyDescent="0.3">
      <c r="A33" s="230" t="s">
        <v>252</v>
      </c>
      <c r="B33" s="239" t="s">
        <v>212</v>
      </c>
      <c r="C33" s="233" t="s">
        <v>219</v>
      </c>
      <c r="D33" s="234"/>
    </row>
    <row r="34" spans="1:4" x14ac:dyDescent="0.3">
      <c r="A34" s="230" t="s">
        <v>253</v>
      </c>
      <c r="B34" s="239" t="s">
        <v>213</v>
      </c>
      <c r="C34" s="233" t="s">
        <v>219</v>
      </c>
      <c r="D34" s="234"/>
    </row>
    <row r="35" spans="1:4" x14ac:dyDescent="0.3">
      <c r="A35" s="230" t="s">
        <v>254</v>
      </c>
      <c r="B35" s="239" t="s">
        <v>214</v>
      </c>
      <c r="C35" s="202" t="s">
        <v>255</v>
      </c>
      <c r="D35" s="232" t="s">
        <v>256</v>
      </c>
    </row>
    <row r="36" spans="1:4" x14ac:dyDescent="0.3">
      <c r="A36" s="230" t="s">
        <v>257</v>
      </c>
      <c r="B36" s="239" t="s">
        <v>215</v>
      </c>
      <c r="C36" s="202" t="s">
        <v>255</v>
      </c>
      <c r="D36" s="232" t="s">
        <v>258</v>
      </c>
    </row>
    <row r="37" spans="1:4" x14ac:dyDescent="0.3">
      <c r="A37" s="230" t="s">
        <v>259</v>
      </c>
      <c r="B37" s="239" t="s">
        <v>216</v>
      </c>
      <c r="C37" s="233" t="s">
        <v>219</v>
      </c>
      <c r="D37" s="234"/>
    </row>
    <row r="38" spans="1:4" x14ac:dyDescent="0.3">
      <c r="A38" s="230" t="s">
        <v>259</v>
      </c>
      <c r="B38" s="239" t="s">
        <v>217</v>
      </c>
      <c r="C38" s="233" t="s">
        <v>219</v>
      </c>
      <c r="D38" s="234"/>
    </row>
    <row r="39" spans="1:4" x14ac:dyDescent="0.3">
      <c r="A39" s="235" t="s">
        <v>243</v>
      </c>
      <c r="B39" s="236" t="s">
        <v>260</v>
      </c>
      <c r="C39" s="228" t="s">
        <v>261</v>
      </c>
      <c r="D39" s="234"/>
    </row>
    <row r="40" spans="1:4" x14ac:dyDescent="0.3">
      <c r="A40" s="230" t="s">
        <v>259</v>
      </c>
      <c r="B40" s="239" t="s">
        <v>262</v>
      </c>
      <c r="C40" s="237" t="s">
        <v>255</v>
      </c>
      <c r="D40" s="232" t="s">
        <v>263</v>
      </c>
    </row>
    <row r="41" spans="1:4" x14ac:dyDescent="0.3">
      <c r="A41" s="230" t="s">
        <v>259</v>
      </c>
      <c r="B41" s="239" t="s">
        <v>264</v>
      </c>
      <c r="C41" s="233" t="s">
        <v>162</v>
      </c>
      <c r="D41" s="232"/>
    </row>
    <row r="42" spans="1:4" x14ac:dyDescent="0.3">
      <c r="A42" s="230" t="s">
        <v>259</v>
      </c>
      <c r="B42" s="239" t="s">
        <v>265</v>
      </c>
      <c r="C42" s="233" t="s">
        <v>162</v>
      </c>
      <c r="D42" s="232"/>
    </row>
    <row r="43" spans="1:4" x14ac:dyDescent="0.3">
      <c r="A43" s="230" t="s">
        <v>259</v>
      </c>
      <c r="B43" s="239" t="s">
        <v>266</v>
      </c>
      <c r="C43" s="238" t="s">
        <v>255</v>
      </c>
      <c r="D43" s="232" t="s">
        <v>267</v>
      </c>
    </row>
    <row r="44" spans="1:4" x14ac:dyDescent="0.3">
      <c r="A44" s="230" t="s">
        <v>259</v>
      </c>
      <c r="B44" s="239" t="s">
        <v>268</v>
      </c>
      <c r="C44" s="233" t="s">
        <v>162</v>
      </c>
      <c r="D44" s="232"/>
    </row>
    <row r="45" spans="1:4" x14ac:dyDescent="0.3">
      <c r="A45" s="230" t="s">
        <v>259</v>
      </c>
      <c r="B45" s="239" t="s">
        <v>269</v>
      </c>
      <c r="C45" s="233" t="s">
        <v>162</v>
      </c>
      <c r="D45" s="232"/>
    </row>
    <row r="46" spans="1:4" x14ac:dyDescent="0.3">
      <c r="A46" s="230" t="s">
        <v>259</v>
      </c>
      <c r="B46" s="239" t="s">
        <v>270</v>
      </c>
      <c r="C46" s="233" t="s">
        <v>162</v>
      </c>
      <c r="D46" s="232"/>
    </row>
    <row r="47" spans="1:4" x14ac:dyDescent="0.3">
      <c r="A47" s="230" t="s">
        <v>259</v>
      </c>
      <c r="B47" s="239" t="s">
        <v>271</v>
      </c>
      <c r="C47" s="233" t="s">
        <v>162</v>
      </c>
      <c r="D47" s="232"/>
    </row>
    <row r="48" spans="1:4" x14ac:dyDescent="0.3">
      <c r="A48" s="230" t="s">
        <v>259</v>
      </c>
      <c r="B48" s="239" t="s">
        <v>272</v>
      </c>
      <c r="C48" s="237" t="s">
        <v>255</v>
      </c>
      <c r="D48" s="232" t="s">
        <v>263</v>
      </c>
    </row>
    <row r="49" spans="1:43" x14ac:dyDescent="0.3">
      <c r="A49" s="230" t="s">
        <v>259</v>
      </c>
      <c r="B49" s="239" t="s">
        <v>273</v>
      </c>
      <c r="C49" s="233" t="s">
        <v>162</v>
      </c>
      <c r="D49" s="232"/>
      <c r="V49" s="230"/>
      <c r="W49" s="231"/>
      <c r="X49" s="233"/>
      <c r="Y49" s="232"/>
      <c r="Z49" s="222"/>
      <c r="AB49" s="222"/>
      <c r="AD49" s="222"/>
      <c r="AF49" s="222"/>
      <c r="AH49" s="222"/>
      <c r="AJ49" s="222"/>
      <c r="AL49" s="222"/>
      <c r="AN49" s="222"/>
      <c r="AP49" s="222"/>
      <c r="AQ49" s="230"/>
    </row>
    <row r="50" spans="1:43" x14ac:dyDescent="0.3">
      <c r="A50" s="230" t="s">
        <v>259</v>
      </c>
      <c r="B50" s="239" t="s">
        <v>274</v>
      </c>
      <c r="C50" s="233" t="s">
        <v>162</v>
      </c>
      <c r="D50" s="232"/>
      <c r="V50" s="230"/>
      <c r="W50" s="231"/>
      <c r="X50" s="233"/>
      <c r="Y50" s="232"/>
      <c r="Z50" s="222"/>
      <c r="AB50" s="222"/>
      <c r="AD50" s="222"/>
      <c r="AF50" s="222"/>
      <c r="AH50" s="222"/>
      <c r="AJ50" s="222"/>
      <c r="AL50" s="222"/>
      <c r="AN50" s="222"/>
      <c r="AP50" s="222"/>
      <c r="AQ50" s="230"/>
    </row>
    <row r="51" spans="1:43" x14ac:dyDescent="0.3">
      <c r="A51" s="230" t="s">
        <v>259</v>
      </c>
      <c r="B51" s="239" t="s">
        <v>275</v>
      </c>
      <c r="C51" s="237" t="s">
        <v>255</v>
      </c>
      <c r="D51" s="232" t="s">
        <v>267</v>
      </c>
    </row>
    <row r="52" spans="1:43" x14ac:dyDescent="0.3">
      <c r="A52" s="230" t="s">
        <v>259</v>
      </c>
      <c r="B52" s="239" t="s">
        <v>276</v>
      </c>
      <c r="C52" s="233" t="s">
        <v>162</v>
      </c>
      <c r="D52" s="23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7A1EE-E880-413C-A96A-CDFEC714CBB4}">
  <dimension ref="A2:N39"/>
  <sheetViews>
    <sheetView workbookViewId="0">
      <selection activeCell="A2" sqref="A2:K29"/>
    </sheetView>
  </sheetViews>
  <sheetFormatPr defaultRowHeight="14.5" x14ac:dyDescent="0.35"/>
  <cols>
    <col min="1" max="1" width="29" customWidth="1"/>
    <col min="2" max="2" width="24.7265625" style="174" customWidth="1"/>
    <col min="3" max="3" width="29.453125" style="174" customWidth="1"/>
    <col min="4" max="4" width="26.1796875" style="174" customWidth="1"/>
    <col min="5" max="5" width="23.7265625" style="174" customWidth="1"/>
    <col min="6" max="6" width="21.453125" style="174" customWidth="1"/>
    <col min="7" max="7" width="24" style="174" customWidth="1"/>
    <col min="8" max="8" width="25" style="174" customWidth="1"/>
    <col min="9" max="10" width="23" style="174" customWidth="1"/>
    <col min="11" max="11" width="19.26953125" style="174" customWidth="1"/>
    <col min="12" max="14" width="12.54296875" bestFit="1" customWidth="1"/>
    <col min="16384" max="16384" width="9.1796875" bestFit="1" customWidth="1"/>
  </cols>
  <sheetData>
    <row r="2" spans="1:12" ht="78.75" customHeight="1" x14ac:dyDescent="0.35">
      <c r="A2" s="183" t="s">
        <v>151</v>
      </c>
      <c r="B2" s="184" t="s">
        <v>277</v>
      </c>
      <c r="C2" s="184" t="s">
        <v>278</v>
      </c>
      <c r="D2" s="184" t="s">
        <v>279</v>
      </c>
      <c r="E2" s="184" t="s">
        <v>280</v>
      </c>
      <c r="F2" s="184" t="s">
        <v>281</v>
      </c>
      <c r="G2" s="184" t="s">
        <v>282</v>
      </c>
      <c r="H2" s="184" t="s">
        <v>283</v>
      </c>
      <c r="I2" s="184" t="s">
        <v>284</v>
      </c>
      <c r="J2" s="184" t="s">
        <v>285</v>
      </c>
      <c r="K2" s="184" t="s">
        <v>286</v>
      </c>
    </row>
    <row r="3" spans="1:12" ht="26.5" x14ac:dyDescent="0.35">
      <c r="A3" s="117" t="s">
        <v>5</v>
      </c>
      <c r="B3" s="201" t="s">
        <v>219</v>
      </c>
      <c r="C3" s="201" t="s">
        <v>219</v>
      </c>
      <c r="D3" s="201" t="s">
        <v>219</v>
      </c>
      <c r="E3" s="201" t="s">
        <v>219</v>
      </c>
      <c r="F3" s="201" t="s">
        <v>219</v>
      </c>
      <c r="G3" s="201" t="s">
        <v>219</v>
      </c>
      <c r="H3" s="200" t="s">
        <v>221</v>
      </c>
      <c r="I3" s="201" t="s">
        <v>219</v>
      </c>
      <c r="J3" s="201" t="s">
        <v>219</v>
      </c>
      <c r="K3" s="201" t="s">
        <v>219</v>
      </c>
    </row>
    <row r="4" spans="1:12" x14ac:dyDescent="0.35">
      <c r="A4" s="119" t="s">
        <v>67</v>
      </c>
      <c r="B4" s="369" t="s">
        <v>68</v>
      </c>
      <c r="C4" s="369"/>
      <c r="D4" s="369"/>
      <c r="E4" s="369"/>
      <c r="F4" s="369"/>
      <c r="G4" s="369"/>
      <c r="H4" s="369"/>
      <c r="I4" s="369"/>
      <c r="J4" s="369"/>
      <c r="K4" s="369"/>
    </row>
    <row r="5" spans="1:12" x14ac:dyDescent="0.35">
      <c r="A5" s="120" t="s">
        <v>69</v>
      </c>
      <c r="B5" s="121">
        <v>3.5399305561440997E-3</v>
      </c>
      <c r="C5" s="121">
        <v>2.8249536990188062E-3</v>
      </c>
      <c r="D5" s="121">
        <v>2.3408912093145773E-3</v>
      </c>
      <c r="E5" s="121">
        <v>1.774849537468981E-3</v>
      </c>
      <c r="F5" s="121">
        <v>1.0846875011338852E-3</v>
      </c>
      <c r="G5" s="121">
        <v>1.6319449059665203E-5</v>
      </c>
      <c r="H5" s="121">
        <v>2.7192939814995043E-3</v>
      </c>
      <c r="I5" s="121">
        <v>2.3430092624039389E-3</v>
      </c>
      <c r="J5" s="121">
        <v>1.7593750017113052E-3</v>
      </c>
      <c r="K5" s="121">
        <v>1.5062500024214387E-3</v>
      </c>
    </row>
    <row r="6" spans="1:12" x14ac:dyDescent="0.35">
      <c r="A6" s="122" t="s">
        <v>70</v>
      </c>
      <c r="B6" s="113">
        <v>6.2615741626359522E-5</v>
      </c>
      <c r="C6" s="113">
        <v>1.1964120494667441E-4</v>
      </c>
      <c r="D6" s="113">
        <v>1.3572916213888675E-4</v>
      </c>
      <c r="E6" s="113">
        <v>1.257638941751793E-4</v>
      </c>
      <c r="F6" s="113">
        <v>9.2905087512917817E-5</v>
      </c>
      <c r="G6" s="113">
        <v>7.7412581020325888E-2</v>
      </c>
      <c r="H6" s="113">
        <v>1.1072916822740808E-4</v>
      </c>
      <c r="I6" s="113">
        <v>1.1011573951691389E-4</v>
      </c>
      <c r="J6" s="113">
        <v>9.5069444796536118E-5</v>
      </c>
      <c r="K6" s="113">
        <v>1.1420138616813347E-4</v>
      </c>
    </row>
    <row r="7" spans="1:12" x14ac:dyDescent="0.35">
      <c r="A7" s="181" t="s">
        <v>71</v>
      </c>
      <c r="B7" s="123">
        <v>3.0553240721928887E-3</v>
      </c>
      <c r="C7" s="123">
        <v>6.5436539356596768E-2</v>
      </c>
      <c r="D7" s="123">
        <v>8.9269131945911795E-2</v>
      </c>
      <c r="E7" s="123">
        <v>0.10239398147678003</v>
      </c>
      <c r="F7" s="123">
        <v>0.11432997685187729</v>
      </c>
      <c r="G7" s="123">
        <v>1.1833530086732935E-2</v>
      </c>
      <c r="H7" s="123">
        <v>1.179386573494412E-2</v>
      </c>
      <c r="I7" s="123">
        <v>2.4368055550439749E-2</v>
      </c>
      <c r="J7" s="123">
        <v>4.9311030095850583E-2</v>
      </c>
      <c r="K7" s="123">
        <v>3.6446562502533197E-2</v>
      </c>
    </row>
    <row r="8" spans="1:12" x14ac:dyDescent="0.35">
      <c r="A8" s="124" t="s">
        <v>72</v>
      </c>
      <c r="B8" s="176">
        <v>1.1857361110742204E-2</v>
      </c>
      <c r="C8" s="114">
        <v>1.186600694200024E-2</v>
      </c>
      <c r="D8" s="114">
        <v>7.1548148116562515E-3</v>
      </c>
      <c r="E8" s="114">
        <v>1.1800231484812684E-2</v>
      </c>
      <c r="F8" s="114">
        <v>1.2457291668397374E-2</v>
      </c>
      <c r="G8" s="114">
        <v>6.7751851893262938E-3</v>
      </c>
      <c r="H8" s="114">
        <v>1.2381284723232966E-2</v>
      </c>
      <c r="I8" s="114">
        <v>1.1871597227582242E-2</v>
      </c>
      <c r="J8" s="114">
        <v>1.2912384256196674E-2</v>
      </c>
      <c r="K8" s="114">
        <v>1.2840821756981313E-2</v>
      </c>
    </row>
    <row r="9" spans="1:12" x14ac:dyDescent="0.35">
      <c r="A9" s="120" t="s">
        <v>73</v>
      </c>
      <c r="B9" s="177">
        <v>2.2371990780811757E-3</v>
      </c>
      <c r="C9" s="121">
        <v>5.6329050930798985E-3</v>
      </c>
      <c r="D9" s="121">
        <v>7.1548148116562515E-3</v>
      </c>
      <c r="E9" s="121">
        <v>8.5216435181791894E-3</v>
      </c>
      <c r="F9" s="121">
        <v>8.9623032399686053E-3</v>
      </c>
      <c r="G9" s="121">
        <v>1.3428171296254732E-2</v>
      </c>
      <c r="H9" s="121">
        <v>3.0841782427160069E-3</v>
      </c>
      <c r="I9" s="121">
        <v>4.1992708283942193E-3</v>
      </c>
      <c r="J9" s="121">
        <v>4.7327199063147418E-3</v>
      </c>
      <c r="K9" s="121">
        <v>4.7137268556980416E-3</v>
      </c>
    </row>
    <row r="10" spans="1:12" x14ac:dyDescent="0.35">
      <c r="A10" s="125" t="s">
        <v>74</v>
      </c>
      <c r="B10" s="178">
        <v>1.3023182866163552E-2</v>
      </c>
      <c r="C10" s="112">
        <v>1.2972534721484408E-2</v>
      </c>
      <c r="D10" s="112">
        <v>1.3173344908864237E-2</v>
      </c>
      <c r="E10" s="112">
        <v>1.2837152775318827E-2</v>
      </c>
      <c r="F10" s="112">
        <v>1.2926469913509209E-2</v>
      </c>
      <c r="G10" s="112">
        <v>5.0648144679144025E-5</v>
      </c>
      <c r="H10" s="112">
        <v>1.3009803238674067E-2</v>
      </c>
      <c r="I10" s="112">
        <v>1.3443784722767305E-2</v>
      </c>
      <c r="J10" s="112">
        <v>1.2733101852063555E-2</v>
      </c>
      <c r="K10" s="112">
        <v>1.293060184980277E-2</v>
      </c>
    </row>
    <row r="11" spans="1:12" hidden="1" x14ac:dyDescent="0.35">
      <c r="A11" s="120" t="s">
        <v>75</v>
      </c>
      <c r="B11" s="177"/>
      <c r="C11" s="121"/>
      <c r="D11" s="121"/>
      <c r="E11" s="121"/>
      <c r="F11" s="121"/>
      <c r="G11" s="121"/>
      <c r="H11" s="121"/>
      <c r="I11" s="121"/>
      <c r="J11" s="121"/>
      <c r="K11" s="121"/>
    </row>
    <row r="12" spans="1:12" hidden="1" x14ac:dyDescent="0.35">
      <c r="A12" s="117" t="s">
        <v>76</v>
      </c>
      <c r="B12" s="179"/>
      <c r="C12" s="84"/>
      <c r="D12" s="84"/>
      <c r="E12" s="84"/>
      <c r="F12" s="84"/>
      <c r="G12" s="84"/>
      <c r="H12" s="84"/>
      <c r="I12" s="84"/>
      <c r="J12" s="84"/>
      <c r="K12" s="84"/>
    </row>
    <row r="13" spans="1:12" ht="29" x14ac:dyDescent="0.35">
      <c r="A13" s="175" t="s">
        <v>181</v>
      </c>
      <c r="B13" s="180">
        <v>3.3781018522859085E-2</v>
      </c>
      <c r="C13" s="89">
        <v>9.8855590273160487E-2</v>
      </c>
      <c r="D13" s="89">
        <v>0.12517912037583301</v>
      </c>
      <c r="E13" s="89">
        <v>0.13745748843211913</v>
      </c>
      <c r="F13" s="283">
        <v>0.14985841434827307</v>
      </c>
      <c r="G13" s="89">
        <v>0.10952010416804114</v>
      </c>
      <c r="H13" s="89">
        <v>4.3103437499667052E-2</v>
      </c>
      <c r="I13" s="89">
        <v>5.6339884256885853E-2</v>
      </c>
      <c r="J13" s="89">
        <v>8.1555405093240552E-2</v>
      </c>
      <c r="K13" s="89">
        <v>6.8555590281903278E-2</v>
      </c>
      <c r="L13" s="174"/>
    </row>
    <row r="14" spans="1:12" x14ac:dyDescent="0.35">
      <c r="A14" s="182" t="s">
        <v>78</v>
      </c>
      <c r="B14" s="84">
        <v>1.6890509261429541E-5</v>
      </c>
      <c r="C14" s="84">
        <v>4.9427795136580242E-5</v>
      </c>
      <c r="D14" s="84">
        <v>6.2589560187916501E-5</v>
      </c>
      <c r="E14" s="84">
        <v>6.872874421605957E-5</v>
      </c>
      <c r="F14" s="84">
        <v>7.492920717413653E-5</v>
      </c>
      <c r="G14" s="84">
        <v>5.4760052084020572E-5</v>
      </c>
      <c r="H14" s="84">
        <v>2.1551718749833526E-5</v>
      </c>
      <c r="I14" s="84">
        <v>2.8169942128442925E-5</v>
      </c>
      <c r="J14" s="84">
        <v>4.0777702546620278E-5</v>
      </c>
      <c r="K14" s="84">
        <v>3.4277795140951641E-5</v>
      </c>
    </row>
    <row r="17" spans="1:14" ht="24.5" x14ac:dyDescent="0.35">
      <c r="A17" s="188" t="s">
        <v>182</v>
      </c>
      <c r="B17" s="189" t="s">
        <v>69</v>
      </c>
      <c r="C17" s="190" t="s">
        <v>70</v>
      </c>
      <c r="D17" s="189" t="s">
        <v>71</v>
      </c>
      <c r="E17" s="272" t="s">
        <v>72</v>
      </c>
      <c r="F17" s="189" t="s">
        <v>73</v>
      </c>
      <c r="G17" s="191" t="s">
        <v>74</v>
      </c>
      <c r="H17" s="193" t="s">
        <v>183</v>
      </c>
      <c r="I17" s="192" t="s">
        <v>184</v>
      </c>
    </row>
    <row r="18" spans="1:14" x14ac:dyDescent="0.35">
      <c r="A18" s="187" t="s">
        <v>185</v>
      </c>
      <c r="B18" s="278">
        <v>2.9320601897779852E-3</v>
      </c>
      <c r="C18" s="278">
        <v>1.4583332813344896E-5</v>
      </c>
      <c r="D18" s="278">
        <v>4.9552083291928284E-3</v>
      </c>
      <c r="E18" s="278">
        <v>3.9780097722541541E-5</v>
      </c>
      <c r="F18" s="278">
        <v>2.0169328709016554E-3</v>
      </c>
      <c r="G18" s="278">
        <v>5.9722216974478215E-5</v>
      </c>
      <c r="H18" s="278">
        <v>1.0019016204751097E-2</v>
      </c>
      <c r="I18" s="278">
        <v>1.4312880292501567E-3</v>
      </c>
      <c r="K18" s="278"/>
    </row>
    <row r="19" spans="1:14" x14ac:dyDescent="0.35">
      <c r="A19" s="187" t="s">
        <v>186</v>
      </c>
      <c r="B19" s="278">
        <v>2.141701384971384E-3</v>
      </c>
      <c r="C19" s="278">
        <v>1.3506942195817828E-5</v>
      </c>
      <c r="D19" s="278">
        <v>7.1180555605678819E-3</v>
      </c>
      <c r="E19" s="278">
        <v>4.1701387090142816E-5</v>
      </c>
      <c r="F19" s="278">
        <v>2.6857638877118006E-3</v>
      </c>
      <c r="G19" s="278">
        <v>7.5462965469341725E-5</v>
      </c>
      <c r="H19" s="278">
        <v>1.2076805549440905E-2</v>
      </c>
      <c r="I19" s="278">
        <v>1.725257935634415E-3</v>
      </c>
    </row>
    <row r="20" spans="1:14" x14ac:dyDescent="0.35">
      <c r="A20" s="187" t="s">
        <v>187</v>
      </c>
      <c r="B20" s="278">
        <v>2.4111111051752232E-3</v>
      </c>
      <c r="C20" s="278">
        <v>1.616898225620389E-5</v>
      </c>
      <c r="D20" s="278">
        <v>1.0636956023517996E-2</v>
      </c>
      <c r="E20" s="278">
        <v>4.0393519157078117E-5</v>
      </c>
      <c r="F20" s="278">
        <v>2.5491550914011896E-3</v>
      </c>
      <c r="G20" s="278">
        <v>6.7708329879678786E-5</v>
      </c>
      <c r="H20" s="284">
        <v>1.5722453703347128E-2</v>
      </c>
      <c r="I20" s="278">
        <v>2.2460648147638756E-3</v>
      </c>
    </row>
    <row r="21" spans="1:14" x14ac:dyDescent="0.35">
      <c r="A21" s="187" t="s">
        <v>188</v>
      </c>
      <c r="B21" s="278">
        <v>9.2465277703013271E-4</v>
      </c>
      <c r="C21" s="278">
        <v>1.8437502149026841E-5</v>
      </c>
      <c r="D21" s="278">
        <v>5.2004629615112208E-3</v>
      </c>
      <c r="E21" s="278">
        <v>3.6770834412891418E-5</v>
      </c>
      <c r="F21" s="278">
        <v>4.0750347179709934E-3</v>
      </c>
      <c r="G21" s="278">
        <v>7.5196760008111596E-5</v>
      </c>
      <c r="H21" s="278">
        <v>1.0331134260923136E-2</v>
      </c>
      <c r="I21" s="278">
        <v>1.4758763229890195E-3</v>
      </c>
    </row>
    <row r="22" spans="1:14" x14ac:dyDescent="0.35">
      <c r="A22" s="187" t="s">
        <v>189</v>
      </c>
      <c r="B22" s="278">
        <v>1.8452546282787807E-3</v>
      </c>
      <c r="C22" s="278">
        <v>2.090277848765254E-5</v>
      </c>
      <c r="D22" s="278">
        <v>3.5913194442400709E-3</v>
      </c>
      <c r="E22" s="278">
        <v>3.6770834412891418E-5</v>
      </c>
      <c r="F22" s="278">
        <v>2.8160069487057626E-3</v>
      </c>
      <c r="G22" s="278">
        <v>7.7129625424277037E-5</v>
      </c>
      <c r="H22" s="278">
        <v>8.3883101906394586E-3</v>
      </c>
      <c r="I22" s="278">
        <v>1.1983300272342084E-3</v>
      </c>
    </row>
    <row r="23" spans="1:14" x14ac:dyDescent="0.35">
      <c r="A23" s="187" t="s">
        <v>190</v>
      </c>
      <c r="B23" s="278">
        <v>3.2045833359006792E-3</v>
      </c>
      <c r="C23" s="278">
        <v>1.319443981628865E-5</v>
      </c>
      <c r="D23" s="278">
        <v>8.4780092656728812E-3</v>
      </c>
      <c r="E23" s="278">
        <v>4.5300919737201184E-5</v>
      </c>
      <c r="F23" s="278">
        <v>1.8813194474205375E-3</v>
      </c>
      <c r="G23" s="278">
        <v>7.9166668001562357E-5</v>
      </c>
      <c r="H23" s="278">
        <v>1.3702731484954711E-2</v>
      </c>
      <c r="I23" s="278">
        <v>1.9575330692792442E-3</v>
      </c>
    </row>
    <row r="24" spans="1:14" x14ac:dyDescent="0.35">
      <c r="A24" s="187" t="s">
        <v>191</v>
      </c>
      <c r="B24" s="278">
        <v>1.1856134296976961E-3</v>
      </c>
      <c r="C24" s="278">
        <v>3.2905089028645307E-5</v>
      </c>
      <c r="D24" s="278">
        <v>8.7019675920601003E-3</v>
      </c>
      <c r="E24" s="278">
        <v>3.9629630919080228E-5</v>
      </c>
      <c r="F24" s="278">
        <v>3.9474884251831099E-3</v>
      </c>
      <c r="G24" s="278">
        <v>7.8472228778991848E-5</v>
      </c>
      <c r="H24" s="278">
        <v>1.3986736114020459E-2</v>
      </c>
      <c r="I24" s="278">
        <v>1.9981051591457799E-3</v>
      </c>
    </row>
    <row r="25" spans="1:14" x14ac:dyDescent="0.35">
      <c r="A25" s="187" t="s">
        <v>192</v>
      </c>
      <c r="B25" s="278">
        <v>1.4615740728913806E-3</v>
      </c>
      <c r="C25" s="278">
        <v>1.6469908587168902E-5</v>
      </c>
      <c r="D25" s="278">
        <v>8.3252314652781934E-5</v>
      </c>
      <c r="E25" s="278">
        <v>3.3645832445472479E-5</v>
      </c>
      <c r="F25" s="278">
        <v>2.9463310202118009E-3</v>
      </c>
      <c r="G25" s="278">
        <v>8.9050925453193486E-5</v>
      </c>
      <c r="H25" s="278">
        <v>4.6323263886733912E-3</v>
      </c>
      <c r="I25" s="278">
        <v>6.617609126676273E-4</v>
      </c>
    </row>
    <row r="26" spans="1:14" x14ac:dyDescent="0.35">
      <c r="A26" s="187" t="s">
        <v>193</v>
      </c>
      <c r="B26" s="278">
        <v>2.668240740604233E-3</v>
      </c>
      <c r="C26" s="278">
        <v>1.0763891623355448E-5</v>
      </c>
      <c r="D26" s="278">
        <v>1.4399768479052E-3</v>
      </c>
      <c r="E26" s="278">
        <v>4.0046295907814056E-5</v>
      </c>
      <c r="F26" s="278">
        <v>2.1265393515932374E-3</v>
      </c>
      <c r="G26" s="278">
        <v>6.4502317400183529E-5</v>
      </c>
      <c r="H26" s="278">
        <v>6.3508796301903203E-3</v>
      </c>
      <c r="I26" s="278">
        <v>9.072685185986172E-4</v>
      </c>
    </row>
    <row r="27" spans="1:14" x14ac:dyDescent="0.35">
      <c r="A27" s="187" t="s">
        <v>194</v>
      </c>
      <c r="B27" s="278">
        <v>6.4649305568309501E-4</v>
      </c>
      <c r="C27" s="278">
        <v>2.0023151591885835E-5</v>
      </c>
      <c r="D27" s="278">
        <v>3.4605324035510421E-3</v>
      </c>
      <c r="E27" s="278">
        <v>4.2430554458405823E-5</v>
      </c>
      <c r="F27" s="278">
        <v>3.4228009317303076E-3</v>
      </c>
      <c r="G27" s="278">
        <v>1.4383101370185614E-4</v>
      </c>
      <c r="H27" s="278">
        <v>7.7369560167426243E-3</v>
      </c>
      <c r="I27" s="278">
        <v>1.1052794309632321E-3</v>
      </c>
    </row>
    <row r="28" spans="1:14" x14ac:dyDescent="0.35">
      <c r="A28" s="187" t="s">
        <v>195</v>
      </c>
      <c r="B28" s="278">
        <v>1.3379976808209904E-3</v>
      </c>
      <c r="C28" s="278">
        <v>1.38275463541504E-4</v>
      </c>
      <c r="D28" s="278">
        <v>3.3560879674041644E-3</v>
      </c>
      <c r="E28" s="278">
        <v>8.0023142800200731E-5</v>
      </c>
      <c r="F28" s="278">
        <v>3.5878472262993455E-3</v>
      </c>
      <c r="G28" s="278">
        <v>1.3302083243615925E-4</v>
      </c>
      <c r="H28" s="278">
        <v>8.6338657420128584E-3</v>
      </c>
      <c r="I28" s="278">
        <v>1.2334093917161226E-3</v>
      </c>
    </row>
    <row r="29" spans="1:14" x14ac:dyDescent="0.35">
      <c r="A29" s="187" t="s">
        <v>196</v>
      </c>
      <c r="B29" s="278">
        <v>9.0709490905283019E-4</v>
      </c>
      <c r="C29" s="278">
        <v>1.4236109564080834E-5</v>
      </c>
      <c r="D29" s="278">
        <v>1.1130787606816739E-4</v>
      </c>
      <c r="E29" s="278">
        <v>1.3460645277518779E-5</v>
      </c>
      <c r="F29" s="278">
        <v>3.338425922265742E-3</v>
      </c>
      <c r="G29" s="278">
        <v>2.2909722611075267E-4</v>
      </c>
      <c r="H29" s="278">
        <v>4.61431713483762E-3</v>
      </c>
      <c r="I29" s="278">
        <v>6.5918816211966004E-4</v>
      </c>
    </row>
    <row r="32" spans="1:14" x14ac:dyDescent="0.35">
      <c r="B32" s="186"/>
      <c r="L32" s="174"/>
      <c r="M32" s="174"/>
      <c r="N32" s="174"/>
    </row>
    <row r="33" spans="2:14" x14ac:dyDescent="0.35">
      <c r="B33" s="186"/>
      <c r="L33" s="174"/>
      <c r="M33" s="174"/>
      <c r="N33" s="174"/>
    </row>
    <row r="34" spans="2:14" x14ac:dyDescent="0.35">
      <c r="B34" s="186"/>
      <c r="L34" s="174"/>
      <c r="M34" s="174"/>
      <c r="N34" s="174"/>
    </row>
    <row r="35" spans="2:14" x14ac:dyDescent="0.35">
      <c r="B35" s="186"/>
      <c r="L35" s="174"/>
      <c r="M35" s="174"/>
      <c r="N35" s="174"/>
    </row>
    <row r="36" spans="2:14" x14ac:dyDescent="0.35">
      <c r="B36" s="186"/>
      <c r="L36" s="174"/>
      <c r="M36" s="174"/>
      <c r="N36" s="174"/>
    </row>
    <row r="37" spans="2:14" x14ac:dyDescent="0.35">
      <c r="B37" s="186"/>
      <c r="L37" s="174"/>
      <c r="M37" s="174"/>
      <c r="N37" s="174"/>
    </row>
    <row r="38" spans="2:14" x14ac:dyDescent="0.35">
      <c r="B38" s="186"/>
      <c r="L38" s="174"/>
      <c r="M38" s="174"/>
      <c r="N38" s="174"/>
    </row>
    <row r="39" spans="2:14" x14ac:dyDescent="0.35">
      <c r="B39" s="186"/>
      <c r="L39" s="174"/>
      <c r="M39" s="174"/>
      <c r="N39" s="174"/>
    </row>
  </sheetData>
  <mergeCells count="1">
    <mergeCell ref="B4:K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53B04-19E1-4FDB-881F-D75A6A3D3FED}">
  <dimension ref="A2:K42"/>
  <sheetViews>
    <sheetView topLeftCell="A2" workbookViewId="0"/>
  </sheetViews>
  <sheetFormatPr defaultRowHeight="14.5" x14ac:dyDescent="0.35"/>
  <cols>
    <col min="1" max="1" width="25.54296875" customWidth="1"/>
    <col min="2" max="2" width="30.1796875" customWidth="1"/>
    <col min="3" max="3" width="31.453125" customWidth="1"/>
    <col min="4" max="4" width="31.54296875" customWidth="1"/>
    <col min="5" max="5" width="32.1796875" customWidth="1"/>
    <col min="6" max="6" width="30.54296875" customWidth="1"/>
    <col min="7" max="7" width="29.54296875" customWidth="1"/>
    <col min="8" max="8" width="30.7265625" customWidth="1"/>
    <col min="9" max="9" width="30.54296875" customWidth="1"/>
    <col min="10" max="10" width="32.26953125" customWidth="1"/>
    <col min="11" max="11" width="31.54296875" customWidth="1"/>
  </cols>
  <sheetData>
    <row r="2" spans="1:11" x14ac:dyDescent="0.35">
      <c r="A2" s="286" t="s">
        <v>243</v>
      </c>
      <c r="B2" s="286" t="s">
        <v>287</v>
      </c>
    </row>
    <row r="3" spans="1:11" x14ac:dyDescent="0.35">
      <c r="A3" s="287" t="s">
        <v>288</v>
      </c>
      <c r="B3" s="288" t="s">
        <v>289</v>
      </c>
    </row>
    <row r="4" spans="1:11" x14ac:dyDescent="0.35">
      <c r="A4" s="287" t="s">
        <v>288</v>
      </c>
      <c r="B4" s="288" t="s">
        <v>290</v>
      </c>
    </row>
    <row r="5" spans="1:11" x14ac:dyDescent="0.35">
      <c r="A5" s="287" t="s">
        <v>291</v>
      </c>
      <c r="B5" s="288" t="s">
        <v>292</v>
      </c>
    </row>
    <row r="6" spans="1:11" x14ac:dyDescent="0.35">
      <c r="A6" s="287" t="s">
        <v>293</v>
      </c>
      <c r="B6" s="288" t="s">
        <v>294</v>
      </c>
    </row>
    <row r="7" spans="1:11" x14ac:dyDescent="0.35">
      <c r="A7" s="287" t="s">
        <v>250</v>
      </c>
      <c r="B7" s="288" t="s">
        <v>295</v>
      </c>
    </row>
    <row r="8" spans="1:11" x14ac:dyDescent="0.35">
      <c r="A8" s="287" t="s">
        <v>251</v>
      </c>
      <c r="B8" s="288" t="s">
        <v>296</v>
      </c>
    </row>
    <row r="9" spans="1:11" x14ac:dyDescent="0.35">
      <c r="A9" s="287" t="s">
        <v>252</v>
      </c>
      <c r="B9" s="288" t="s">
        <v>297</v>
      </c>
    </row>
    <row r="10" spans="1:11" x14ac:dyDescent="0.35">
      <c r="A10" s="287" t="s">
        <v>253</v>
      </c>
      <c r="B10" s="288" t="s">
        <v>298</v>
      </c>
    </row>
    <row r="11" spans="1:11" x14ac:dyDescent="0.35">
      <c r="A11" s="289" t="s">
        <v>254</v>
      </c>
      <c r="B11" s="290" t="s">
        <v>299</v>
      </c>
    </row>
    <row r="12" spans="1:11" x14ac:dyDescent="0.35">
      <c r="A12" s="287" t="s">
        <v>257</v>
      </c>
      <c r="B12" s="288" t="s">
        <v>300</v>
      </c>
    </row>
    <row r="15" spans="1:11" ht="67.5" customHeight="1" x14ac:dyDescent="0.35">
      <c r="A15" s="183" t="s">
        <v>151</v>
      </c>
      <c r="B15" s="184" t="s">
        <v>277</v>
      </c>
      <c r="C15" s="184" t="s">
        <v>278</v>
      </c>
      <c r="D15" s="184" t="s">
        <v>279</v>
      </c>
      <c r="E15" s="184" t="s">
        <v>280</v>
      </c>
      <c r="F15" s="184" t="s">
        <v>281</v>
      </c>
      <c r="G15" s="184" t="s">
        <v>282</v>
      </c>
      <c r="H15" s="184" t="s">
        <v>283</v>
      </c>
      <c r="I15" s="184" t="s">
        <v>284</v>
      </c>
      <c r="J15" s="184" t="s">
        <v>285</v>
      </c>
      <c r="K15" s="184" t="s">
        <v>286</v>
      </c>
    </row>
    <row r="16" spans="1:11" ht="16.5" customHeight="1" x14ac:dyDescent="0.35">
      <c r="A16" s="117" t="s">
        <v>5</v>
      </c>
      <c r="B16" s="201" t="s">
        <v>219</v>
      </c>
      <c r="C16" s="201" t="s">
        <v>219</v>
      </c>
      <c r="D16" s="201" t="s">
        <v>219</v>
      </c>
      <c r="E16" s="201" t="s">
        <v>219</v>
      </c>
      <c r="F16" s="201" t="s">
        <v>219</v>
      </c>
      <c r="G16" s="201" t="s">
        <v>219</v>
      </c>
      <c r="H16" s="201" t="s">
        <v>219</v>
      </c>
      <c r="I16" s="201" t="s">
        <v>219</v>
      </c>
      <c r="J16" s="201" t="s">
        <v>219</v>
      </c>
      <c r="K16" s="201" t="s">
        <v>219</v>
      </c>
    </row>
    <row r="17" spans="1:11" x14ac:dyDescent="0.35">
      <c r="A17" s="119" t="s">
        <v>67</v>
      </c>
      <c r="B17" s="369" t="s">
        <v>68</v>
      </c>
      <c r="C17" s="369"/>
      <c r="D17" s="369"/>
      <c r="E17" s="369"/>
      <c r="F17" s="369"/>
      <c r="G17" s="369"/>
      <c r="H17" s="369"/>
      <c r="I17" s="369"/>
      <c r="J17" s="369"/>
      <c r="K17" s="369"/>
    </row>
    <row r="18" spans="1:11" x14ac:dyDescent="0.35">
      <c r="A18" s="120" t="s">
        <v>69</v>
      </c>
      <c r="B18" s="121">
        <v>7.6770833333333335E-4</v>
      </c>
      <c r="C18" s="121">
        <v>3.0636921296296293E-3</v>
      </c>
      <c r="D18" s="121">
        <v>1.4715277777777778E-3</v>
      </c>
      <c r="E18" s="121">
        <v>2.1380787037037037E-3</v>
      </c>
      <c r="F18" s="121">
        <v>1.1860300925925925E-3</v>
      </c>
      <c r="G18" s="121">
        <v>1.7746527777777777E-4</v>
      </c>
      <c r="H18" s="121">
        <v>2.8106018518518519E-3</v>
      </c>
      <c r="I18" s="121"/>
      <c r="J18" s="121"/>
      <c r="K18" s="121"/>
    </row>
    <row r="19" spans="1:11" x14ac:dyDescent="0.35">
      <c r="A19" s="122" t="s">
        <v>70</v>
      </c>
      <c r="B19" s="113">
        <v>6.0532407407407414E-5</v>
      </c>
      <c r="C19" s="113">
        <v>5.4363425925925925E-5</v>
      </c>
      <c r="D19" s="113">
        <v>7.3182870370370372E-5</v>
      </c>
      <c r="E19" s="113">
        <v>6.126157407407408E-5</v>
      </c>
      <c r="F19" s="113">
        <v>5.3553240740740738E-5</v>
      </c>
      <c r="G19" s="113">
        <v>5.2395833333333337E-5</v>
      </c>
      <c r="H19" s="113">
        <v>5.2013888888888885E-5</v>
      </c>
      <c r="I19" s="113"/>
      <c r="J19" s="113"/>
      <c r="K19" s="113"/>
    </row>
    <row r="20" spans="1:11" x14ac:dyDescent="0.35">
      <c r="A20" s="181" t="s">
        <v>71</v>
      </c>
      <c r="B20" s="123">
        <v>3.4123842592592591E-3</v>
      </c>
      <c r="C20" s="123">
        <v>0.1123002662037037</v>
      </c>
      <c r="D20" s="123">
        <v>0.12737033564814815</v>
      </c>
      <c r="E20" s="123">
        <v>6.7203668981481487E-2</v>
      </c>
      <c r="F20" s="123">
        <v>8.1266979166666656E-2</v>
      </c>
      <c r="G20" s="123">
        <v>9.5154780092592595E-2</v>
      </c>
      <c r="H20" s="123">
        <v>2.1806481481481482E-2</v>
      </c>
      <c r="I20" s="123"/>
      <c r="J20" s="123"/>
      <c r="K20" s="123"/>
    </row>
    <row r="21" spans="1:11" x14ac:dyDescent="0.35">
      <c r="A21" s="124" t="s">
        <v>72</v>
      </c>
      <c r="B21" s="176">
        <v>1.4863541666666667E-2</v>
      </c>
      <c r="C21" s="114">
        <v>1.5002314814814816E-2</v>
      </c>
      <c r="D21" s="114">
        <v>1.3795555555555554E-2</v>
      </c>
      <c r="E21" s="114">
        <v>1.404525462962963E-2</v>
      </c>
      <c r="F21" s="114">
        <v>1.3825381944444444E-2</v>
      </c>
      <c r="G21" s="114">
        <v>1.369652777777778E-2</v>
      </c>
      <c r="H21" s="114">
        <v>1.4017280092592593E-2</v>
      </c>
      <c r="I21" s="114"/>
      <c r="J21" s="114"/>
      <c r="K21" s="114"/>
    </row>
    <row r="22" spans="1:11" x14ac:dyDescent="0.35">
      <c r="A22" s="120" t="s">
        <v>73</v>
      </c>
      <c r="B22" s="177">
        <v>2.5995023148148149E-3</v>
      </c>
      <c r="C22" s="121">
        <v>1.0328703703703704E-3</v>
      </c>
      <c r="D22" s="121">
        <v>1.2042476851851852E-3</v>
      </c>
      <c r="E22" s="121">
        <v>3.2068287037037037E-4</v>
      </c>
      <c r="F22" s="121">
        <v>2.022071759259259E-3</v>
      </c>
      <c r="G22" s="121">
        <v>1.007326388888889E-3</v>
      </c>
      <c r="H22" s="121">
        <v>9.3842592592592589E-4</v>
      </c>
      <c r="I22" s="121"/>
      <c r="J22" s="121"/>
      <c r="K22" s="121"/>
    </row>
    <row r="23" spans="1:11" x14ac:dyDescent="0.35">
      <c r="A23" s="125" t="s">
        <v>74</v>
      </c>
      <c r="B23" s="178">
        <v>1.2726157407407407E-2</v>
      </c>
      <c r="C23" s="112">
        <v>1.2606678240740741E-2</v>
      </c>
      <c r="D23" s="112">
        <v>1.2520636574074073E-2</v>
      </c>
      <c r="E23" s="112">
        <v>1.2687800925925927E-2</v>
      </c>
      <c r="F23" s="112">
        <v>1.2601041666666667E-2</v>
      </c>
      <c r="G23" s="112">
        <v>1.3018831018518518E-2</v>
      </c>
      <c r="H23" s="112">
        <v>1.2746562500000001E-2</v>
      </c>
      <c r="I23" s="112"/>
      <c r="J23" s="112"/>
      <c r="K23" s="112"/>
    </row>
    <row r="24" spans="1:11" x14ac:dyDescent="0.35">
      <c r="A24" s="120" t="s">
        <v>75</v>
      </c>
      <c r="B24" s="177"/>
      <c r="C24" s="121"/>
      <c r="D24" s="121"/>
      <c r="E24" s="121"/>
      <c r="F24" s="121"/>
      <c r="G24" s="121"/>
      <c r="H24" s="121"/>
      <c r="I24" s="121"/>
      <c r="J24" s="121"/>
      <c r="K24" s="121"/>
    </row>
    <row r="25" spans="1:11" x14ac:dyDescent="0.35">
      <c r="A25" s="117" t="s">
        <v>76</v>
      </c>
      <c r="B25" s="179"/>
      <c r="C25" s="84"/>
      <c r="D25" s="84"/>
      <c r="E25" s="84"/>
      <c r="F25" s="84"/>
      <c r="G25" s="84"/>
      <c r="H25" s="84"/>
      <c r="I25" s="84"/>
      <c r="J25" s="84"/>
      <c r="K25" s="84"/>
    </row>
    <row r="26" spans="1:11" ht="29" x14ac:dyDescent="0.35">
      <c r="A26" s="175" t="s">
        <v>181</v>
      </c>
      <c r="B26" s="180">
        <v>3.4434224537037039E-2</v>
      </c>
      <c r="C26" s="89">
        <v>0.1440636111111111</v>
      </c>
      <c r="D26" s="89">
        <v>0.15644065972222221</v>
      </c>
      <c r="E26" s="89">
        <v>9.6460960648148159E-2</v>
      </c>
      <c r="F26" s="89">
        <v>0.11095914351851853</v>
      </c>
      <c r="G26" s="89">
        <v>0.12311126157407408</v>
      </c>
      <c r="H26" s="89">
        <v>5.2375763888888885E-2</v>
      </c>
      <c r="I26" s="89"/>
      <c r="J26" s="89"/>
      <c r="K26" s="89"/>
    </row>
    <row r="27" spans="1:11" x14ac:dyDescent="0.35">
      <c r="A27" s="182" t="s">
        <v>78</v>
      </c>
      <c r="B27" s="84">
        <v>1.7222222222222224E-5</v>
      </c>
      <c r="C27" s="84">
        <v>7.203703703703704E-5</v>
      </c>
      <c r="D27" s="84">
        <v>7.8217592592592591E-5</v>
      </c>
      <c r="E27" s="84">
        <v>4.8229166666666662E-5</v>
      </c>
      <c r="F27" s="84">
        <v>5.5474537037037037E-5</v>
      </c>
      <c r="G27" s="84">
        <v>6.1550925925925917E-5</v>
      </c>
      <c r="H27" s="84">
        <v>2.6192129629629628E-5</v>
      </c>
      <c r="I27" s="84"/>
      <c r="J27" s="84"/>
      <c r="K27" s="84"/>
    </row>
    <row r="28" spans="1:11" x14ac:dyDescent="0.35">
      <c r="B28" s="174"/>
      <c r="C28" s="174"/>
      <c r="D28" s="174"/>
      <c r="E28" s="174"/>
      <c r="F28" s="174"/>
      <c r="G28" s="174"/>
      <c r="H28" s="174"/>
      <c r="I28" s="174"/>
      <c r="J28" s="174"/>
      <c r="K28" s="174"/>
    </row>
    <row r="29" spans="1:11" x14ac:dyDescent="0.35">
      <c r="B29" s="174"/>
      <c r="C29" s="174"/>
      <c r="D29" s="174"/>
      <c r="E29" s="174"/>
      <c r="F29" s="174"/>
      <c r="G29" s="174"/>
      <c r="H29" s="174"/>
      <c r="I29" s="174"/>
      <c r="J29" s="174"/>
      <c r="K29" s="174"/>
    </row>
    <row r="30" spans="1:11" ht="24.5" x14ac:dyDescent="0.35">
      <c r="A30" s="188" t="s">
        <v>182</v>
      </c>
      <c r="B30" s="189" t="s">
        <v>69</v>
      </c>
      <c r="C30" s="190" t="s">
        <v>70</v>
      </c>
      <c r="D30" s="189" t="s">
        <v>71</v>
      </c>
      <c r="E30" s="272" t="s">
        <v>72</v>
      </c>
      <c r="F30" s="189" t="s">
        <v>73</v>
      </c>
      <c r="G30" s="191" t="s">
        <v>74</v>
      </c>
      <c r="H30" s="193" t="s">
        <v>183</v>
      </c>
      <c r="I30" s="192" t="s">
        <v>184</v>
      </c>
      <c r="J30" s="174"/>
      <c r="K30" s="174"/>
    </row>
    <row r="31" spans="1:11" x14ac:dyDescent="0.35">
      <c r="A31" s="187" t="s">
        <v>185</v>
      </c>
      <c r="B31" s="278"/>
      <c r="C31" s="278"/>
      <c r="D31" s="278"/>
      <c r="E31" s="278"/>
      <c r="F31" s="278"/>
      <c r="G31" s="278"/>
      <c r="H31" s="278"/>
      <c r="I31" s="278"/>
      <c r="J31" s="174"/>
      <c r="K31" s="278"/>
    </row>
    <row r="32" spans="1:11" x14ac:dyDescent="0.35">
      <c r="A32" s="187" t="s">
        <v>186</v>
      </c>
      <c r="B32" s="278"/>
      <c r="C32" s="278"/>
      <c r="D32" s="278"/>
      <c r="E32" s="278"/>
      <c r="F32" s="278"/>
      <c r="G32" s="278"/>
      <c r="H32" s="278"/>
      <c r="I32" s="278"/>
      <c r="J32" s="174"/>
      <c r="K32" s="174"/>
    </row>
    <row r="33" spans="1:11" x14ac:dyDescent="0.35">
      <c r="A33" s="187" t="s">
        <v>187</v>
      </c>
      <c r="B33" s="278"/>
      <c r="C33" s="278"/>
      <c r="D33" s="278"/>
      <c r="E33" s="278"/>
      <c r="F33" s="278"/>
      <c r="G33" s="278"/>
      <c r="H33" s="284"/>
      <c r="I33" s="278"/>
      <c r="J33" s="174"/>
      <c r="K33" s="174"/>
    </row>
    <row r="34" spans="1:11" x14ac:dyDescent="0.35">
      <c r="A34" s="187" t="s">
        <v>188</v>
      </c>
      <c r="B34" s="278"/>
      <c r="C34" s="278"/>
      <c r="D34" s="278"/>
      <c r="E34" s="278"/>
      <c r="F34" s="278"/>
      <c r="G34" s="278"/>
      <c r="H34" s="278"/>
      <c r="I34" s="278"/>
      <c r="J34" s="174"/>
      <c r="K34" s="174"/>
    </row>
    <row r="35" spans="1:11" x14ac:dyDescent="0.35">
      <c r="A35" s="187" t="s">
        <v>189</v>
      </c>
      <c r="B35" s="278"/>
      <c r="C35" s="278"/>
      <c r="D35" s="278"/>
      <c r="E35" s="278"/>
      <c r="F35" s="278"/>
      <c r="G35" s="278"/>
      <c r="H35" s="278"/>
      <c r="I35" s="278"/>
      <c r="J35" s="174"/>
      <c r="K35" s="174"/>
    </row>
    <row r="36" spans="1:11" x14ac:dyDescent="0.35">
      <c r="A36" s="187" t="s">
        <v>190</v>
      </c>
      <c r="B36" s="278"/>
      <c r="C36" s="278"/>
      <c r="D36" s="278"/>
      <c r="E36" s="278"/>
      <c r="F36" s="278"/>
      <c r="G36" s="278"/>
      <c r="H36" s="278"/>
      <c r="I36" s="278"/>
      <c r="J36" s="174"/>
      <c r="K36" s="174"/>
    </row>
    <row r="37" spans="1:11" x14ac:dyDescent="0.35">
      <c r="A37" s="187" t="s">
        <v>191</v>
      </c>
      <c r="B37" s="278"/>
      <c r="C37" s="278"/>
      <c r="D37" s="278"/>
      <c r="E37" s="278"/>
      <c r="F37" s="278"/>
      <c r="G37" s="278"/>
      <c r="H37" s="278"/>
      <c r="I37" s="278"/>
      <c r="J37" s="174"/>
      <c r="K37" s="174"/>
    </row>
    <row r="38" spans="1:11" x14ac:dyDescent="0.35">
      <c r="A38" s="187" t="s">
        <v>192</v>
      </c>
      <c r="B38" s="278"/>
      <c r="C38" s="278"/>
      <c r="D38" s="278"/>
      <c r="E38" s="278"/>
      <c r="F38" s="278"/>
      <c r="G38" s="278"/>
      <c r="H38" s="278"/>
      <c r="I38" s="278"/>
      <c r="J38" s="174"/>
      <c r="K38" s="174"/>
    </row>
    <row r="39" spans="1:11" x14ac:dyDescent="0.35">
      <c r="A39" s="187" t="s">
        <v>193</v>
      </c>
      <c r="B39" s="278"/>
      <c r="C39" s="278"/>
      <c r="D39" s="278"/>
      <c r="E39" s="278"/>
      <c r="F39" s="278"/>
      <c r="G39" s="278"/>
      <c r="H39" s="278"/>
      <c r="I39" s="278"/>
      <c r="J39" s="174"/>
      <c r="K39" s="174"/>
    </row>
    <row r="40" spans="1:11" x14ac:dyDescent="0.35">
      <c r="A40" s="187" t="s">
        <v>194</v>
      </c>
      <c r="B40" s="278"/>
      <c r="C40" s="278"/>
      <c r="D40" s="278"/>
      <c r="E40" s="278"/>
      <c r="F40" s="278"/>
      <c r="G40" s="278"/>
      <c r="H40" s="278"/>
      <c r="I40" s="278"/>
      <c r="J40" s="174"/>
      <c r="K40" s="174"/>
    </row>
    <row r="41" spans="1:11" x14ac:dyDescent="0.35">
      <c r="A41" s="187" t="s">
        <v>195</v>
      </c>
      <c r="B41" s="278"/>
      <c r="C41" s="278"/>
      <c r="D41" s="278"/>
      <c r="E41" s="278"/>
      <c r="F41" s="278"/>
      <c r="G41" s="278"/>
      <c r="H41" s="278"/>
      <c r="I41" s="278"/>
      <c r="J41" s="174"/>
      <c r="K41" s="174"/>
    </row>
    <row r="42" spans="1:11" x14ac:dyDescent="0.35">
      <c r="A42" s="187" t="s">
        <v>196</v>
      </c>
      <c r="B42" s="278"/>
      <c r="C42" s="278"/>
      <c r="D42" s="278"/>
      <c r="E42" s="278"/>
      <c r="F42" s="278"/>
      <c r="G42" s="278"/>
      <c r="H42" s="278"/>
      <c r="I42" s="278"/>
      <c r="J42" s="174"/>
      <c r="K42" s="174"/>
    </row>
  </sheetData>
  <mergeCells count="1">
    <mergeCell ref="B17:K1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0C144-77B7-44D2-A616-1D7B338654B4}">
  <dimension ref="A1:I28"/>
  <sheetViews>
    <sheetView workbookViewId="0">
      <selection activeCell="B2" sqref="B2"/>
    </sheetView>
  </sheetViews>
  <sheetFormatPr defaultRowHeight="14.5" x14ac:dyDescent="0.35"/>
  <cols>
    <col min="1" max="1" width="25.81640625" customWidth="1"/>
    <col min="2" max="2" width="31.453125" customWidth="1"/>
    <col min="3" max="3" width="30.7265625" customWidth="1"/>
    <col min="4" max="4" width="20.81640625" bestFit="1" customWidth="1"/>
    <col min="5" max="5" width="20.7265625" bestFit="1" customWidth="1"/>
    <col min="6" max="6" width="20.81640625" bestFit="1" customWidth="1"/>
    <col min="7" max="7" width="20.7265625" bestFit="1" customWidth="1"/>
    <col min="8" max="8" width="18" customWidth="1"/>
    <col min="9" max="9" width="15.81640625" customWidth="1"/>
  </cols>
  <sheetData>
    <row r="1" spans="1:9" ht="78.75" customHeight="1" x14ac:dyDescent="0.35">
      <c r="A1" s="183" t="s">
        <v>151</v>
      </c>
      <c r="B1" s="184" t="s">
        <v>301</v>
      </c>
      <c r="C1" s="184" t="s">
        <v>302</v>
      </c>
    </row>
    <row r="2" spans="1:9" x14ac:dyDescent="0.35">
      <c r="A2" s="117" t="s">
        <v>5</v>
      </c>
      <c r="B2" s="201" t="s">
        <v>219</v>
      </c>
      <c r="C2" s="201" t="s">
        <v>219</v>
      </c>
    </row>
    <row r="3" spans="1:9" x14ac:dyDescent="0.35">
      <c r="A3" s="119" t="s">
        <v>67</v>
      </c>
      <c r="B3" s="369" t="s">
        <v>68</v>
      </c>
      <c r="C3" s="369"/>
    </row>
    <row r="4" spans="1:9" x14ac:dyDescent="0.35">
      <c r="A4" s="120" t="s">
        <v>69</v>
      </c>
      <c r="B4" s="121">
        <v>2.8208680555555556E-3</v>
      </c>
      <c r="C4" s="121">
        <v>1.9322916666666666E-3</v>
      </c>
    </row>
    <row r="5" spans="1:9" x14ac:dyDescent="0.35">
      <c r="A5" s="122" t="s">
        <v>70</v>
      </c>
      <c r="B5" s="113">
        <v>7.4918981481481486E-5</v>
      </c>
      <c r="C5" s="113">
        <v>7.6238425925925928E-5</v>
      </c>
    </row>
    <row r="6" spans="1:9" x14ac:dyDescent="0.35">
      <c r="A6" s="181" t="s">
        <v>71</v>
      </c>
      <c r="B6" s="123">
        <v>3.3249999999999998E-3</v>
      </c>
      <c r="C6" s="123">
        <v>1.6776655092592591E-2</v>
      </c>
    </row>
    <row r="7" spans="1:9" x14ac:dyDescent="0.35">
      <c r="A7" s="124" t="s">
        <v>72</v>
      </c>
      <c r="B7" s="176">
        <v>1.3144525462962962E-2</v>
      </c>
      <c r="C7" s="114">
        <v>1.3740127314814814E-2</v>
      </c>
    </row>
    <row r="8" spans="1:9" x14ac:dyDescent="0.35">
      <c r="A8" s="120" t="s">
        <v>73</v>
      </c>
      <c r="B8" s="177">
        <v>1.1209490740740739E-3</v>
      </c>
      <c r="C8" s="121">
        <v>9.2564814814814819E-3</v>
      </c>
    </row>
    <row r="9" spans="1:9" x14ac:dyDescent="0.35">
      <c r="A9" s="125" t="s">
        <v>74</v>
      </c>
      <c r="B9" s="178">
        <v>2.1187962962962964E-2</v>
      </c>
      <c r="C9" s="112">
        <v>2.0707291666666666E-2</v>
      </c>
    </row>
    <row r="10" spans="1:9" x14ac:dyDescent="0.35">
      <c r="A10" s="120" t="s">
        <v>75</v>
      </c>
      <c r="B10" s="177"/>
      <c r="C10" s="121"/>
    </row>
    <row r="11" spans="1:9" x14ac:dyDescent="0.35">
      <c r="A11" s="117" t="s">
        <v>76</v>
      </c>
      <c r="B11" s="179"/>
      <c r="C11" s="84"/>
    </row>
    <row r="12" spans="1:9" ht="44.25" customHeight="1" x14ac:dyDescent="0.35">
      <c r="A12" s="175" t="s">
        <v>181</v>
      </c>
      <c r="B12" s="180">
        <v>4.1680671296296296E-2</v>
      </c>
      <c r="C12" s="89">
        <v>6.2496805555555555E-2</v>
      </c>
    </row>
    <row r="13" spans="1:9" x14ac:dyDescent="0.35">
      <c r="A13" s="182" t="s">
        <v>78</v>
      </c>
      <c r="B13" s="84">
        <v>2.0844907407407408E-5</v>
      </c>
      <c r="C13" s="84">
        <v>3.1250000000000001E-5</v>
      </c>
    </row>
    <row r="14" spans="1:9" x14ac:dyDescent="0.35">
      <c r="B14" s="174"/>
      <c r="C14" s="174"/>
    </row>
    <row r="15" spans="1:9" x14ac:dyDescent="0.35">
      <c r="B15" s="174"/>
      <c r="C15" s="174"/>
    </row>
    <row r="16" spans="1:9" ht="24.5" x14ac:dyDescent="0.35">
      <c r="A16" s="188" t="s">
        <v>182</v>
      </c>
      <c r="B16" s="189" t="s">
        <v>69</v>
      </c>
      <c r="C16" s="190" t="s">
        <v>70</v>
      </c>
      <c r="D16" s="189" t="s">
        <v>71</v>
      </c>
      <c r="E16" s="272" t="s">
        <v>72</v>
      </c>
      <c r="F16" s="189" t="s">
        <v>73</v>
      </c>
      <c r="G16" s="191" t="s">
        <v>74</v>
      </c>
      <c r="H16" s="193" t="s">
        <v>183</v>
      </c>
      <c r="I16" s="192" t="s">
        <v>184</v>
      </c>
    </row>
    <row r="17" spans="1:9" x14ac:dyDescent="0.35">
      <c r="A17" s="187" t="s">
        <v>185</v>
      </c>
      <c r="B17" s="278">
        <v>1.419212962962963E-3</v>
      </c>
      <c r="C17" s="278">
        <v>2.4537037037037038E-5</v>
      </c>
      <c r="D17" s="278">
        <v>3.0746944444444445E-2</v>
      </c>
      <c r="E17" s="278">
        <v>4.9930555555555557E-5</v>
      </c>
      <c r="F17" s="278">
        <v>8.4015740740740735E-3</v>
      </c>
      <c r="G17" s="278">
        <v>1.3060185185185185E-4</v>
      </c>
      <c r="H17" s="278">
        <v>4.0774074074074074E-2</v>
      </c>
      <c r="I17" s="278">
        <v>2.0381944444444444E-5</v>
      </c>
    </row>
    <row r="18" spans="1:9" x14ac:dyDescent="0.35">
      <c r="A18" s="187" t="s">
        <v>186</v>
      </c>
      <c r="B18" s="278">
        <v>2.185763888888889E-3</v>
      </c>
      <c r="C18" s="278">
        <v>7.8356481481481492E-6</v>
      </c>
      <c r="D18" s="278">
        <v>3.4691319444444444E-3</v>
      </c>
      <c r="E18" s="278">
        <v>1.6006944444444443E-5</v>
      </c>
      <c r="F18" s="278">
        <v>1.8891435185185185E-2</v>
      </c>
      <c r="G18" s="278">
        <v>1.2508101851851851E-4</v>
      </c>
      <c r="H18" s="278">
        <v>2.4696990740740742E-2</v>
      </c>
      <c r="I18" s="278">
        <v>1.2349537037037036E-5</v>
      </c>
    </row>
    <row r="19" spans="1:9" x14ac:dyDescent="0.35">
      <c r="A19" s="187" t="s">
        <v>187</v>
      </c>
      <c r="B19" s="278">
        <v>2.8638541666666669E-3</v>
      </c>
      <c r="C19" s="278">
        <v>9.4097222222222219E-6</v>
      </c>
      <c r="D19" s="278">
        <v>3.4687847222222221E-3</v>
      </c>
      <c r="E19" s="278">
        <v>1.4548611111111112E-5</v>
      </c>
      <c r="F19" s="278">
        <v>4.344363425925926E-3</v>
      </c>
      <c r="G19" s="278">
        <v>1.2704861111111112E-4</v>
      </c>
      <c r="H19" s="278">
        <v>1.0830671296296297E-2</v>
      </c>
      <c r="I19" s="278">
        <v>5.4166666666666668E-6</v>
      </c>
    </row>
    <row r="20" spans="1:9" x14ac:dyDescent="0.35">
      <c r="A20" s="187" t="s">
        <v>188</v>
      </c>
      <c r="B20" s="278">
        <v>3.3928587962962966E-3</v>
      </c>
      <c r="C20" s="278">
        <v>2.0601851851851853E-5</v>
      </c>
      <c r="D20" s="278">
        <v>6.3244212962962959E-3</v>
      </c>
      <c r="E20" s="278">
        <v>5.9803240740740741E-5</v>
      </c>
      <c r="F20" s="278">
        <v>8.8139583333333334E-3</v>
      </c>
      <c r="G20" s="278">
        <v>1.2334490740740741E-4</v>
      </c>
      <c r="H20" s="278">
        <v>1.8738032407407405E-2</v>
      </c>
      <c r="I20" s="278">
        <v>9.3634259259259272E-6</v>
      </c>
    </row>
    <row r="21" spans="1:9" x14ac:dyDescent="0.35">
      <c r="A21" s="187" t="s">
        <v>189</v>
      </c>
      <c r="B21" s="278">
        <v>1.8712499999999999E-3</v>
      </c>
      <c r="C21" s="278">
        <v>1.2500000000000001E-5</v>
      </c>
      <c r="D21" s="278">
        <v>8.7268518518518519E-5</v>
      </c>
      <c r="E21" s="278">
        <v>7.7199074074074075E-6</v>
      </c>
      <c r="F21" s="278">
        <v>3.3716435185185186E-3</v>
      </c>
      <c r="G21" s="278">
        <v>1.3989583333333334E-4</v>
      </c>
      <c r="H21" s="278">
        <v>5.4910069444444442E-3</v>
      </c>
      <c r="I21" s="278">
        <v>2.7430555555555552E-6</v>
      </c>
    </row>
    <row r="22" spans="1:9" x14ac:dyDescent="0.35">
      <c r="A22" s="187" t="s">
        <v>190</v>
      </c>
      <c r="B22" s="278">
        <v>2.1763888888888887E-3</v>
      </c>
      <c r="C22" s="278">
        <v>6.9629629629629623E-5</v>
      </c>
      <c r="D22" s="278">
        <v>3.4334953703703702E-3</v>
      </c>
      <c r="E22" s="278">
        <v>5.5439814814814818E-5</v>
      </c>
      <c r="F22" s="278">
        <v>3.5290509259259264E-3</v>
      </c>
      <c r="G22" s="278">
        <v>8.1134259259259256E-5</v>
      </c>
      <c r="H22" s="278">
        <v>9.3455555555555566E-3</v>
      </c>
      <c r="I22" s="278">
        <v>4.6759259259259259E-6</v>
      </c>
    </row>
    <row r="23" spans="1:9" x14ac:dyDescent="0.35">
      <c r="A23" s="187" t="s">
        <v>191</v>
      </c>
      <c r="B23" s="278">
        <v>8.9135416666666671E-4</v>
      </c>
      <c r="C23" s="278">
        <v>1.2233796296296296E-5</v>
      </c>
      <c r="D23" s="278">
        <v>9.7925462962962957E-3</v>
      </c>
      <c r="E23" s="278">
        <v>4.8344907407407402E-5</v>
      </c>
      <c r="F23" s="278">
        <v>6.7291666666666672E-4</v>
      </c>
      <c r="G23" s="278">
        <v>9.0243055555555554E-5</v>
      </c>
      <c r="H23" s="278">
        <v>1.1508055555555556E-2</v>
      </c>
      <c r="I23" s="278">
        <v>5.7523148148148149E-6</v>
      </c>
    </row>
    <row r="24" spans="1:9" x14ac:dyDescent="0.35">
      <c r="A24" s="187" t="s">
        <v>192</v>
      </c>
      <c r="B24" s="278">
        <v>3.1306365740740743E-3</v>
      </c>
      <c r="C24" s="278">
        <v>1.1180555555555555E-5</v>
      </c>
      <c r="D24" s="278">
        <v>2.8156712962962962E-3</v>
      </c>
      <c r="E24" s="278">
        <v>4.0810185185185184E-5</v>
      </c>
      <c r="F24" s="278">
        <v>9.0137037037037043E-3</v>
      </c>
      <c r="G24" s="278">
        <v>1.9034722222222223E-4</v>
      </c>
      <c r="H24" s="278">
        <v>1.5202974537037037E-2</v>
      </c>
      <c r="I24" s="278">
        <v>7.6041666666666674E-6</v>
      </c>
    </row>
    <row r="25" spans="1:9" x14ac:dyDescent="0.35">
      <c r="A25" s="187" t="s">
        <v>193</v>
      </c>
      <c r="B25" s="278">
        <v>1.1504282407407407E-3</v>
      </c>
      <c r="C25" s="278">
        <v>1.1423611111111111E-5</v>
      </c>
      <c r="D25" s="278">
        <v>1.3322488425925927E-2</v>
      </c>
      <c r="E25" s="278">
        <v>4.2824074074074079E-5</v>
      </c>
      <c r="F25" s="278">
        <v>5.1732638888888889E-4</v>
      </c>
      <c r="G25" s="278">
        <v>1.0150462962962963E-4</v>
      </c>
      <c r="H25" s="278">
        <v>1.5146377314814814E-2</v>
      </c>
      <c r="I25" s="278">
        <v>7.5694444444444447E-6</v>
      </c>
    </row>
    <row r="26" spans="1:9" x14ac:dyDescent="0.35">
      <c r="A26" s="187" t="s">
        <v>194</v>
      </c>
      <c r="B26" s="278">
        <v>6.225231481481482E-4</v>
      </c>
      <c r="C26" s="278">
        <v>1.0231481481481481E-5</v>
      </c>
      <c r="D26" s="278">
        <v>6.2607986111111111E-3</v>
      </c>
      <c r="E26" s="278">
        <v>5.0578703703703703E-5</v>
      </c>
      <c r="F26" s="278">
        <v>8.2280092592592593E-4</v>
      </c>
      <c r="G26" s="278">
        <v>6.4733796296296295E-5</v>
      </c>
      <c r="H26" s="278">
        <v>7.8320138888888901E-3</v>
      </c>
      <c r="I26" s="278">
        <v>3.9120370370370369E-6</v>
      </c>
    </row>
    <row r="27" spans="1:9" x14ac:dyDescent="0.35">
      <c r="A27" s="187" t="s">
        <v>195</v>
      </c>
      <c r="B27" s="278">
        <v>2.4405092592592595E-3</v>
      </c>
      <c r="C27" s="278">
        <v>1.2384259259259261E-5</v>
      </c>
      <c r="D27" s="278">
        <v>1.1192129629629629E-5</v>
      </c>
      <c r="E27" s="278">
        <v>8.6805555555555555E-6</v>
      </c>
      <c r="F27" s="278">
        <v>4.1884606481481478E-3</v>
      </c>
      <c r="G27" s="278">
        <v>1.3993055555555555E-4</v>
      </c>
      <c r="H27" s="278">
        <v>6.8017708333333333E-3</v>
      </c>
      <c r="I27" s="278">
        <v>3.4027777777777774E-6</v>
      </c>
    </row>
    <row r="28" spans="1:9" x14ac:dyDescent="0.35">
      <c r="A28" s="187" t="s">
        <v>196</v>
      </c>
      <c r="B28" s="278">
        <v>3.6681712962962964E-4</v>
      </c>
      <c r="C28" s="278">
        <v>1.0266203703703704E-5</v>
      </c>
      <c r="D28" s="278">
        <v>2.7340624999999999E-3</v>
      </c>
      <c r="E28" s="278">
        <v>4.8032407407407408E-5</v>
      </c>
      <c r="F28" s="278">
        <v>9.4660879629629641E-4</v>
      </c>
      <c r="G28" s="278">
        <v>1.1662037037037038E-4</v>
      </c>
      <c r="H28" s="278">
        <v>4.2228356481481483E-3</v>
      </c>
      <c r="I28" s="278">
        <v>2.1064814814814816E-6</v>
      </c>
    </row>
  </sheetData>
  <mergeCells count="1">
    <mergeCell ref="B3:C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83CC2-78ED-4F55-B697-4261A9771545}">
  <dimension ref="A1:H28"/>
  <sheetViews>
    <sheetView topLeftCell="B7" workbookViewId="0">
      <selection activeCell="A16" sqref="A16:H28"/>
    </sheetView>
  </sheetViews>
  <sheetFormatPr defaultRowHeight="14.5" x14ac:dyDescent="0.35"/>
  <cols>
    <col min="1" max="1" width="25.453125" customWidth="1"/>
    <col min="2" max="2" width="30.7265625" customWidth="1"/>
    <col min="3" max="3" width="32.453125" customWidth="1"/>
    <col min="4" max="4" width="23.81640625" customWidth="1"/>
    <col min="5" max="5" width="22.1796875" customWidth="1"/>
    <col min="6" max="6" width="21.54296875" customWidth="1"/>
    <col min="7" max="7" width="23" customWidth="1"/>
    <col min="8" max="8" width="19.1796875" customWidth="1"/>
  </cols>
  <sheetData>
    <row r="1" spans="1:8" ht="68.25" customHeight="1" x14ac:dyDescent="0.35">
      <c r="A1" s="183" t="s">
        <v>303</v>
      </c>
      <c r="B1" s="184" t="s">
        <v>304</v>
      </c>
      <c r="C1" s="184" t="s">
        <v>305</v>
      </c>
    </row>
    <row r="2" spans="1:8" x14ac:dyDescent="0.35">
      <c r="A2" s="117" t="s">
        <v>5</v>
      </c>
      <c r="B2" s="202" t="s">
        <v>306</v>
      </c>
      <c r="C2" s="202" t="s">
        <v>307</v>
      </c>
    </row>
    <row r="3" spans="1:8" x14ac:dyDescent="0.35">
      <c r="A3" s="119" t="s">
        <v>67</v>
      </c>
      <c r="B3" s="369" t="s">
        <v>68</v>
      </c>
      <c r="C3" s="369"/>
    </row>
    <row r="4" spans="1:8" x14ac:dyDescent="0.35">
      <c r="A4" s="120" t="s">
        <v>69</v>
      </c>
      <c r="B4" s="121">
        <v>9.2341435185185191E-4</v>
      </c>
      <c r="C4" s="121">
        <v>3.3549768518518515E-4</v>
      </c>
    </row>
    <row r="5" spans="1:8" x14ac:dyDescent="0.35">
      <c r="A5" s="122" t="s">
        <v>70</v>
      </c>
      <c r="B5" s="113">
        <v>1.2688657407407408E-4</v>
      </c>
      <c r="C5" s="113">
        <v>1.3822916666666665E-4</v>
      </c>
    </row>
    <row r="6" spans="1:8" x14ac:dyDescent="0.35">
      <c r="A6" s="181" t="s">
        <v>71</v>
      </c>
      <c r="B6" s="123">
        <v>4.3146493055555554E-2</v>
      </c>
      <c r="C6" s="123">
        <v>3.3929050925925923E-3</v>
      </c>
    </row>
    <row r="7" spans="1:8" x14ac:dyDescent="0.35">
      <c r="A7" s="124" t="s">
        <v>72</v>
      </c>
      <c r="B7" s="176">
        <v>3.7696956018518517E-2</v>
      </c>
      <c r="C7" s="114">
        <v>3.7756435185185185E-2</v>
      </c>
    </row>
    <row r="8" spans="1:8" x14ac:dyDescent="0.35">
      <c r="A8" s="120" t="s">
        <v>73</v>
      </c>
      <c r="B8" s="177">
        <v>8.4996944444444444E-2</v>
      </c>
      <c r="C8" s="121">
        <v>5.2770833333333337E-4</v>
      </c>
    </row>
    <row r="9" spans="1:8" x14ac:dyDescent="0.35">
      <c r="A9" s="125" t="s">
        <v>74</v>
      </c>
      <c r="B9" s="178">
        <v>0.13063688657407407</v>
      </c>
      <c r="C9" s="112">
        <v>0.12411785879629629</v>
      </c>
    </row>
    <row r="10" spans="1:8" x14ac:dyDescent="0.35">
      <c r="A10" s="120" t="s">
        <v>75</v>
      </c>
      <c r="B10" s="177"/>
      <c r="C10" s="121"/>
    </row>
    <row r="11" spans="1:8" x14ac:dyDescent="0.35">
      <c r="A11" s="117" t="s">
        <v>76</v>
      </c>
      <c r="B11" s="179"/>
      <c r="C11" s="84"/>
    </row>
    <row r="12" spans="1:8" ht="29" x14ac:dyDescent="0.35">
      <c r="A12" s="175" t="s">
        <v>181</v>
      </c>
      <c r="B12" s="180">
        <v>0.29755208333333333</v>
      </c>
      <c r="C12" s="89">
        <v>0.16627989583333333</v>
      </c>
    </row>
    <row r="13" spans="1:8" x14ac:dyDescent="0.35">
      <c r="A13" s="182" t="s">
        <v>78</v>
      </c>
      <c r="B13" s="84">
        <v>1.4877314814814815E-4</v>
      </c>
      <c r="C13" s="84">
        <v>8.313657407407407E-5</v>
      </c>
    </row>
    <row r="16" spans="1:8" ht="24.5" x14ac:dyDescent="0.35">
      <c r="A16" s="188" t="s">
        <v>182</v>
      </c>
      <c r="B16" s="189" t="s">
        <v>69</v>
      </c>
      <c r="C16" s="190" t="s">
        <v>70</v>
      </c>
      <c r="D16" s="189" t="s">
        <v>71</v>
      </c>
      <c r="E16" s="272" t="s">
        <v>72</v>
      </c>
      <c r="F16" s="189" t="s">
        <v>73</v>
      </c>
      <c r="G16" s="191" t="s">
        <v>74</v>
      </c>
      <c r="H16" s="193" t="s">
        <v>183</v>
      </c>
    </row>
    <row r="17" spans="1:8" x14ac:dyDescent="0.35">
      <c r="A17" s="187" t="s">
        <v>185</v>
      </c>
      <c r="B17" s="278">
        <v>1.2554398148148147E-4</v>
      </c>
      <c r="C17" s="278">
        <v>1.1307870370370371E-5</v>
      </c>
      <c r="D17" s="278">
        <v>1.3348379629629629E-4</v>
      </c>
      <c r="E17" s="278">
        <v>1.5046296296296297E-5</v>
      </c>
      <c r="F17" s="278">
        <v>3.315162037037037E-3</v>
      </c>
      <c r="G17" s="278">
        <v>1.0760416666666667E-4</v>
      </c>
      <c r="H17" s="278">
        <v>3.708877314814815E-3</v>
      </c>
    </row>
    <row r="18" spans="1:8" x14ac:dyDescent="0.35">
      <c r="A18" s="187" t="s">
        <v>186</v>
      </c>
      <c r="B18" s="278">
        <v>1.5654398148148146E-3</v>
      </c>
      <c r="C18" s="278">
        <v>9.3750000000000009E-6</v>
      </c>
      <c r="D18" s="278">
        <v>2.4899259259259256E-2</v>
      </c>
      <c r="E18" s="278">
        <v>1.7762731481481481E-4</v>
      </c>
      <c r="F18" s="278">
        <v>0.25654533564814813</v>
      </c>
      <c r="G18" s="278">
        <v>9.7055555555555545E-4</v>
      </c>
      <c r="H18" s="278">
        <v>0.28417018518518516</v>
      </c>
    </row>
    <row r="19" spans="1:8" x14ac:dyDescent="0.35">
      <c r="A19" s="187" t="s">
        <v>187</v>
      </c>
      <c r="B19" s="278">
        <v>3.2616550925925929E-3</v>
      </c>
      <c r="C19" s="278">
        <v>7.7893518518518528E-6</v>
      </c>
      <c r="D19" s="278">
        <v>3.3296296296296299E-3</v>
      </c>
      <c r="E19" s="278">
        <v>3.1400462962962967E-5</v>
      </c>
      <c r="F19" s="278">
        <v>3.508449074074074E-3</v>
      </c>
      <c r="G19" s="278">
        <v>5.8912037037037033E-5</v>
      </c>
      <c r="H19" s="278">
        <v>1.0198113425925925E-2</v>
      </c>
    </row>
    <row r="20" spans="1:8" x14ac:dyDescent="0.35">
      <c r="A20" s="187" t="s">
        <v>188</v>
      </c>
      <c r="B20" s="278">
        <v>1.0359606481481483E-3</v>
      </c>
      <c r="C20" s="278">
        <v>8.7152777777777782E-6</v>
      </c>
      <c r="D20" s="278">
        <v>1.7542442129629628E-2</v>
      </c>
      <c r="E20" s="278">
        <v>1.5775462962962965E-4</v>
      </c>
      <c r="F20" s="278">
        <v>0.25867971064814815</v>
      </c>
      <c r="G20" s="278">
        <v>7.3050925925925931E-4</v>
      </c>
      <c r="H20" s="278">
        <v>0.27817195601851852</v>
      </c>
    </row>
    <row r="21" spans="1:8" x14ac:dyDescent="0.35">
      <c r="A21" s="187" t="s">
        <v>189</v>
      </c>
      <c r="B21" s="278">
        <v>3.7785879629629628E-4</v>
      </c>
      <c r="C21" s="278">
        <v>9.2129629629629628E-6</v>
      </c>
      <c r="D21" s="278">
        <v>1.0232175925925926E-2</v>
      </c>
      <c r="E21" s="278">
        <v>1.6238425925925925E-4</v>
      </c>
      <c r="F21" s="278">
        <v>1.5937500000000001E-5</v>
      </c>
      <c r="G21" s="278">
        <v>8.1284722222222216E-5</v>
      </c>
      <c r="H21" s="278">
        <v>1.0879548611111112E-2</v>
      </c>
    </row>
    <row r="22" spans="1:8" x14ac:dyDescent="0.35">
      <c r="A22" s="187" t="s">
        <v>190</v>
      </c>
      <c r="B22" s="278">
        <v>1.2978819444444444E-3</v>
      </c>
      <c r="C22" s="278">
        <v>1.0729166666666667E-5</v>
      </c>
      <c r="D22" s="278">
        <v>2.1189467592592593E-2</v>
      </c>
      <c r="E22" s="278">
        <v>2.2152777777777779E-4</v>
      </c>
      <c r="F22" s="278">
        <v>0.25773837962962964</v>
      </c>
      <c r="G22" s="278">
        <v>6.6127314814814814E-4</v>
      </c>
      <c r="H22" s="278">
        <v>0.28113387731481482</v>
      </c>
    </row>
    <row r="23" spans="1:8" x14ac:dyDescent="0.35">
      <c r="A23" s="187" t="s">
        <v>191</v>
      </c>
      <c r="B23" s="278">
        <v>2.1032407407407406E-3</v>
      </c>
      <c r="C23" s="278">
        <v>9.2245370370370381E-6</v>
      </c>
      <c r="D23" s="278">
        <v>3.2301423611111109E-2</v>
      </c>
      <c r="E23" s="278">
        <v>2.1177083333333334E-4</v>
      </c>
      <c r="F23" s="278">
        <v>0.25449861111111111</v>
      </c>
      <c r="G23" s="278">
        <v>6.2847222222222221E-4</v>
      </c>
      <c r="H23" s="278">
        <v>0.28976284722222223</v>
      </c>
    </row>
    <row r="24" spans="1:8" x14ac:dyDescent="0.35">
      <c r="A24" s="187" t="s">
        <v>192</v>
      </c>
      <c r="B24" s="278">
        <v>2.8341435185185184E-3</v>
      </c>
      <c r="C24" s="278">
        <v>9.8379629629629627E-6</v>
      </c>
      <c r="D24" s="278">
        <v>3.3449074074074075E-5</v>
      </c>
      <c r="E24" s="278">
        <v>1.4386574074074072E-5</v>
      </c>
      <c r="F24" s="278">
        <v>3.4168981481481485E-3</v>
      </c>
      <c r="G24" s="278">
        <v>7.0567129629629639E-5</v>
      </c>
      <c r="H24" s="278">
        <v>6.3795949074074076E-3</v>
      </c>
    </row>
    <row r="25" spans="1:8" x14ac:dyDescent="0.35">
      <c r="A25" s="187" t="s">
        <v>193</v>
      </c>
      <c r="B25" s="278">
        <v>1.8358101851851853E-3</v>
      </c>
      <c r="C25" s="278">
        <v>9.7916666666666664E-6</v>
      </c>
      <c r="D25" s="278">
        <v>2.858576388888889E-2</v>
      </c>
      <c r="E25" s="278">
        <v>2.1717592592592592E-4</v>
      </c>
      <c r="F25" s="278">
        <v>0.25541233796296298</v>
      </c>
      <c r="G25" s="278">
        <v>8.2959490740740736E-4</v>
      </c>
      <c r="H25" s="278">
        <v>0.28689942129629631</v>
      </c>
    </row>
    <row r="26" spans="1:8" x14ac:dyDescent="0.35">
      <c r="A26" s="187" t="s">
        <v>194</v>
      </c>
      <c r="B26" s="278">
        <v>7.6300925925925928E-4</v>
      </c>
      <c r="C26" s="278">
        <v>1.076388888888889E-5</v>
      </c>
      <c r="D26" s="278">
        <v>1.3882986111111112E-2</v>
      </c>
      <c r="E26" s="278">
        <v>1.6612268518518519E-4</v>
      </c>
      <c r="F26" s="278">
        <v>0.25962997685185185</v>
      </c>
      <c r="G26" s="278">
        <v>1.0613078703703704E-3</v>
      </c>
      <c r="H26" s="278">
        <v>0.27555895833333333</v>
      </c>
    </row>
    <row r="27" spans="1:8" x14ac:dyDescent="0.35">
      <c r="A27" s="187" t="s">
        <v>195</v>
      </c>
      <c r="B27" s="278">
        <v>2.5573726851851851E-3</v>
      </c>
      <c r="C27" s="278">
        <v>1.0300925925925926E-5</v>
      </c>
      <c r="D27" s="278">
        <v>3.6015081018518517E-2</v>
      </c>
      <c r="E27" s="278">
        <v>2.7913194444444448E-4</v>
      </c>
      <c r="F27" s="278">
        <v>0.25340697916666666</v>
      </c>
      <c r="G27" s="278">
        <v>7.2418981481481477E-4</v>
      </c>
      <c r="H27" s="278">
        <v>0.2930170601851852</v>
      </c>
    </row>
    <row r="28" spans="1:8" x14ac:dyDescent="0.35">
      <c r="A28" s="187" t="s">
        <v>196</v>
      </c>
      <c r="B28" s="278">
        <v>4.0593749999999999E-4</v>
      </c>
      <c r="C28" s="278">
        <v>6.9594907407407404E-5</v>
      </c>
      <c r="D28" s="278">
        <v>3.4587615740740737E-3</v>
      </c>
      <c r="E28" s="278">
        <v>7.322916666666666E-5</v>
      </c>
      <c r="F28" s="278">
        <v>3.4513425925925931E-3</v>
      </c>
      <c r="G28" s="278">
        <v>7.6122685185185188E-5</v>
      </c>
      <c r="H28" s="278">
        <v>7.5363773148148152E-3</v>
      </c>
    </row>
  </sheetData>
  <mergeCells count="1">
    <mergeCell ref="B3:C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061A1-A180-4902-82BC-93DAA63AB99A}">
  <dimension ref="A2:H46"/>
  <sheetViews>
    <sheetView topLeftCell="A10" workbookViewId="0">
      <selection activeCell="B21" sqref="B21"/>
    </sheetView>
  </sheetViews>
  <sheetFormatPr defaultRowHeight="14.5" x14ac:dyDescent="0.35"/>
  <cols>
    <col min="1" max="1" width="26.81640625" customWidth="1"/>
    <col min="2" max="2" width="36.7265625" customWidth="1"/>
    <col min="3" max="3" width="35.7265625" customWidth="1"/>
    <col min="4" max="4" width="20.54296875" customWidth="1"/>
    <col min="5" max="5" width="21.1796875" customWidth="1"/>
    <col min="6" max="6" width="21.81640625" customWidth="1"/>
    <col min="7" max="7" width="20.7265625" bestFit="1" customWidth="1"/>
    <col min="8" max="8" width="16.81640625" bestFit="1" customWidth="1"/>
  </cols>
  <sheetData>
    <row r="2" spans="1:1" x14ac:dyDescent="0.35">
      <c r="A2" s="291" t="s">
        <v>308</v>
      </c>
    </row>
    <row r="3" spans="1:1" x14ac:dyDescent="0.35">
      <c r="A3" s="292" t="s">
        <v>309</v>
      </c>
    </row>
    <row r="4" spans="1:1" x14ac:dyDescent="0.35">
      <c r="A4" s="292" t="s">
        <v>310</v>
      </c>
    </row>
    <row r="6" spans="1:1" x14ac:dyDescent="0.35">
      <c r="A6" t="s">
        <v>311</v>
      </c>
    </row>
    <row r="7" spans="1:1" x14ac:dyDescent="0.35">
      <c r="A7" t="s">
        <v>312</v>
      </c>
    </row>
    <row r="8" spans="1:1" x14ac:dyDescent="0.35">
      <c r="A8" t="s">
        <v>313</v>
      </c>
    </row>
    <row r="9" spans="1:1" x14ac:dyDescent="0.35">
      <c r="A9" t="s">
        <v>314</v>
      </c>
    </row>
    <row r="10" spans="1:1" x14ac:dyDescent="0.35">
      <c r="A10" t="s">
        <v>315</v>
      </c>
    </row>
    <row r="11" spans="1:1" x14ac:dyDescent="0.35">
      <c r="A11" t="s">
        <v>316</v>
      </c>
    </row>
    <row r="12" spans="1:1" x14ac:dyDescent="0.35">
      <c r="A12" t="s">
        <v>317</v>
      </c>
    </row>
    <row r="13" spans="1:1" x14ac:dyDescent="0.35">
      <c r="A13" t="s">
        <v>318</v>
      </c>
    </row>
    <row r="14" spans="1:1" x14ac:dyDescent="0.35">
      <c r="A14" t="s">
        <v>319</v>
      </c>
    </row>
    <row r="15" spans="1:1" x14ac:dyDescent="0.35">
      <c r="A15" t="s">
        <v>320</v>
      </c>
    </row>
    <row r="16" spans="1:1" x14ac:dyDescent="0.35">
      <c r="A16" t="s">
        <v>321</v>
      </c>
    </row>
    <row r="17" spans="1:3" x14ac:dyDescent="0.35">
      <c r="A17" t="s">
        <v>322</v>
      </c>
    </row>
    <row r="18" spans="1:3" x14ac:dyDescent="0.35">
      <c r="A18" t="s">
        <v>323</v>
      </c>
    </row>
    <row r="19" spans="1:3" x14ac:dyDescent="0.35">
      <c r="A19" t="s">
        <v>11</v>
      </c>
    </row>
    <row r="20" spans="1:3" ht="60" customHeight="1" x14ac:dyDescent="0.35">
      <c r="A20" s="183" t="s">
        <v>303</v>
      </c>
      <c r="B20" s="184" t="s">
        <v>324</v>
      </c>
      <c r="C20" s="184" t="s">
        <v>325</v>
      </c>
    </row>
    <row r="21" spans="1:3" x14ac:dyDescent="0.35">
      <c r="A21" s="117" t="s">
        <v>5</v>
      </c>
      <c r="B21" s="201" t="s">
        <v>219</v>
      </c>
      <c r="C21" s="202" t="s">
        <v>326</v>
      </c>
    </row>
    <row r="22" spans="1:3" x14ac:dyDescent="0.35">
      <c r="A22" s="119" t="s">
        <v>67</v>
      </c>
      <c r="B22" s="369" t="s">
        <v>68</v>
      </c>
      <c r="C22" s="369"/>
    </row>
    <row r="23" spans="1:3" x14ac:dyDescent="0.35">
      <c r="A23" s="120" t="s">
        <v>69</v>
      </c>
      <c r="B23" s="121">
        <v>1.3481944444444446E-3</v>
      </c>
      <c r="C23" s="121">
        <v>5.2908564814814821E-4</v>
      </c>
    </row>
    <row r="24" spans="1:3" x14ac:dyDescent="0.35">
      <c r="A24" s="122" t="s">
        <v>70</v>
      </c>
      <c r="B24" s="113">
        <v>4.6562499999999993E-5</v>
      </c>
      <c r="C24" s="113">
        <v>5.3437499999999998E-5</v>
      </c>
    </row>
    <row r="25" spans="1:3" x14ac:dyDescent="0.35">
      <c r="A25" s="181" t="s">
        <v>71</v>
      </c>
      <c r="B25" s="123">
        <v>3.3736111111111115E-3</v>
      </c>
      <c r="C25" s="123">
        <v>4.0095439814814816E-2</v>
      </c>
    </row>
    <row r="26" spans="1:3" x14ac:dyDescent="0.35">
      <c r="A26" s="124" t="s">
        <v>72</v>
      </c>
      <c r="B26" s="176">
        <v>3.562337962962963E-2</v>
      </c>
      <c r="C26" s="114">
        <v>3.1807025462962962E-2</v>
      </c>
    </row>
    <row r="27" spans="1:3" x14ac:dyDescent="0.35">
      <c r="A27" s="120" t="s">
        <v>73</v>
      </c>
      <c r="B27" s="177">
        <v>3.7130787037037037E-3</v>
      </c>
      <c r="C27" s="121">
        <v>9.0663194444444446E-3</v>
      </c>
    </row>
    <row r="28" spans="1:3" x14ac:dyDescent="0.35">
      <c r="A28" s="125" t="s">
        <v>74</v>
      </c>
      <c r="B28" s="178">
        <v>3.7975925925925927E-2</v>
      </c>
      <c r="C28" s="112">
        <v>2.5661724537037033E-2</v>
      </c>
    </row>
    <row r="29" spans="1:3" x14ac:dyDescent="0.35">
      <c r="A29" s="120" t="s">
        <v>75</v>
      </c>
      <c r="B29" s="177"/>
      <c r="C29" s="121"/>
    </row>
    <row r="30" spans="1:3" x14ac:dyDescent="0.35">
      <c r="A30" s="117" t="s">
        <v>76</v>
      </c>
      <c r="B30" s="179"/>
      <c r="C30" s="84"/>
    </row>
    <row r="31" spans="1:3" ht="29" x14ac:dyDescent="0.35">
      <c r="A31" s="175" t="s">
        <v>181</v>
      </c>
      <c r="B31" s="180">
        <v>8.2089282407407413E-2</v>
      </c>
      <c r="C31" s="89">
        <v>0.10722075231481482</v>
      </c>
    </row>
    <row r="32" spans="1:3" x14ac:dyDescent="0.35">
      <c r="A32" s="182" t="s">
        <v>78</v>
      </c>
      <c r="B32" s="84">
        <v>4.104166666666667E-5</v>
      </c>
      <c r="C32" s="84">
        <v>5.3611111111111108E-5</v>
      </c>
    </row>
    <row r="34" spans="1:8" ht="24.5" x14ac:dyDescent="0.35">
      <c r="A34" s="188" t="s">
        <v>182</v>
      </c>
      <c r="B34" s="189" t="s">
        <v>69</v>
      </c>
      <c r="C34" s="190" t="s">
        <v>70</v>
      </c>
      <c r="D34" s="189" t="s">
        <v>71</v>
      </c>
      <c r="E34" s="272" t="s">
        <v>72</v>
      </c>
      <c r="F34" s="189" t="s">
        <v>73</v>
      </c>
      <c r="G34" s="191" t="s">
        <v>74</v>
      </c>
      <c r="H34" s="193" t="s">
        <v>183</v>
      </c>
    </row>
    <row r="35" spans="1:8" x14ac:dyDescent="0.35">
      <c r="A35" s="187" t="s">
        <v>185</v>
      </c>
      <c r="B35" s="278">
        <v>2.5238773148148147E-3</v>
      </c>
      <c r="C35" s="278">
        <v>1.0497685185185185E-5</v>
      </c>
      <c r="D35" s="278">
        <v>2.5943518518518519E-2</v>
      </c>
      <c r="E35" s="278">
        <v>8.0405092592592597E-5</v>
      </c>
      <c r="F35" s="278">
        <v>1.8611458333333334E-3</v>
      </c>
      <c r="G35" s="278">
        <v>4.1435185185185185E-5</v>
      </c>
      <c r="H35" s="278">
        <v>3.046122685185185E-2</v>
      </c>
    </row>
    <row r="36" spans="1:8" x14ac:dyDescent="0.35">
      <c r="A36" s="187" t="s">
        <v>186</v>
      </c>
      <c r="B36" s="278">
        <v>9.3024305555555558E-4</v>
      </c>
      <c r="C36" s="278">
        <v>2.4108796296296297E-5</v>
      </c>
      <c r="D36" s="278">
        <v>3.4743865740740742E-3</v>
      </c>
      <c r="E36" s="278">
        <v>3.4178240740740741E-5</v>
      </c>
      <c r="F36" s="278">
        <v>3.5337615740740741E-3</v>
      </c>
      <c r="G36" s="278">
        <v>8.3761574074074071E-5</v>
      </c>
      <c r="H36" s="278">
        <v>8.0808217592592598E-3</v>
      </c>
    </row>
    <row r="37" spans="1:8" x14ac:dyDescent="0.35">
      <c r="A37" s="187" t="s">
        <v>187</v>
      </c>
      <c r="B37" s="278">
        <v>1.0301736111111113E-3</v>
      </c>
      <c r="C37" s="278">
        <v>2.3182870370370373E-5</v>
      </c>
      <c r="D37" s="278">
        <v>8.0072916666666678E-3</v>
      </c>
      <c r="E37" s="278">
        <v>1.4181712962962962E-4</v>
      </c>
      <c r="F37" s="278">
        <v>2.6621527777777776E-3</v>
      </c>
      <c r="G37" s="278">
        <v>3.6153935185185182E-4</v>
      </c>
      <c r="H37" s="278">
        <v>1.2237418981481483E-2</v>
      </c>
    </row>
    <row r="38" spans="1:8" x14ac:dyDescent="0.35">
      <c r="A38" s="187" t="s">
        <v>188</v>
      </c>
      <c r="B38" s="278">
        <v>3.0124999999999996E-3</v>
      </c>
      <c r="C38" s="278">
        <v>1.0729166666666667E-5</v>
      </c>
      <c r="D38" s="278">
        <v>2.9509340277777778E-2</v>
      </c>
      <c r="E38" s="278">
        <v>8.8310185185185179E-5</v>
      </c>
      <c r="F38" s="278">
        <v>1.7068634259259261E-3</v>
      </c>
      <c r="G38" s="278">
        <v>5.0497685185185182E-5</v>
      </c>
      <c r="H38" s="278">
        <v>3.4378587962962961E-2</v>
      </c>
    </row>
    <row r="39" spans="1:8" x14ac:dyDescent="0.35">
      <c r="A39" s="187" t="s">
        <v>189</v>
      </c>
      <c r="B39" s="278">
        <v>1.4297106481481481E-3</v>
      </c>
      <c r="C39" s="278">
        <v>9.3750000000000009E-6</v>
      </c>
      <c r="D39" s="278">
        <v>1.1642430555555555E-2</v>
      </c>
      <c r="E39" s="278">
        <v>9.7650462962962958E-5</v>
      </c>
      <c r="F39" s="278">
        <v>2.4341782407407407E-3</v>
      </c>
      <c r="G39" s="278">
        <v>6.9409722222222225E-5</v>
      </c>
      <c r="H39" s="278">
        <v>1.5706365740740739E-2</v>
      </c>
    </row>
    <row r="40" spans="1:8" x14ac:dyDescent="0.35">
      <c r="A40" s="187" t="s">
        <v>190</v>
      </c>
      <c r="B40" s="278">
        <v>1.9783217592592591E-3</v>
      </c>
      <c r="C40" s="278">
        <v>1.0034722222222222E-5</v>
      </c>
      <c r="D40" s="278">
        <v>1.8791851851851851E-2</v>
      </c>
      <c r="E40" s="278">
        <v>8.63888888888889E-5</v>
      </c>
      <c r="F40" s="278">
        <v>2.1477546296296297E-3</v>
      </c>
      <c r="G40" s="278">
        <v>3.7696759259259257E-5</v>
      </c>
      <c r="H40" s="278">
        <v>2.3052395833333333E-2</v>
      </c>
    </row>
    <row r="41" spans="1:8" x14ac:dyDescent="0.35">
      <c r="A41" s="187" t="s">
        <v>191</v>
      </c>
      <c r="B41" s="278">
        <v>7.646180555555556E-4</v>
      </c>
      <c r="C41" s="278">
        <v>1.0034722222222222E-5</v>
      </c>
      <c r="D41" s="278">
        <v>4.3980671296296294E-3</v>
      </c>
      <c r="E41" s="278">
        <v>1.3341435185185185E-4</v>
      </c>
      <c r="F41" s="278">
        <v>3.2128472222222224E-3</v>
      </c>
      <c r="G41" s="278">
        <v>3.0871527777777782E-4</v>
      </c>
      <c r="H41" s="278">
        <v>8.8418981481481491E-3</v>
      </c>
    </row>
    <row r="42" spans="1:8" x14ac:dyDescent="0.35">
      <c r="A42" s="187" t="s">
        <v>192</v>
      </c>
      <c r="B42" s="278">
        <v>2.2484143518518517E-3</v>
      </c>
      <c r="C42" s="278">
        <v>1.1273148148148148E-5</v>
      </c>
      <c r="D42" s="278">
        <v>2.2360370370370371E-2</v>
      </c>
      <c r="E42" s="278">
        <v>9.4675925925925922E-5</v>
      </c>
      <c r="F42" s="278">
        <v>2.0015046296296296E-3</v>
      </c>
      <c r="G42" s="278">
        <v>4.0208333333333333E-5</v>
      </c>
      <c r="H42" s="278">
        <v>2.6757094907407408E-2</v>
      </c>
    </row>
    <row r="43" spans="1:8" x14ac:dyDescent="0.35">
      <c r="A43" s="187" t="s">
        <v>193</v>
      </c>
      <c r="B43" s="278">
        <v>3.8179398148148149E-4</v>
      </c>
      <c r="C43" s="278">
        <v>1.0335648148148149E-5</v>
      </c>
      <c r="D43" s="278">
        <v>3.4712962962962965E-3</v>
      </c>
      <c r="E43" s="278">
        <v>2.3344907407407408E-5</v>
      </c>
      <c r="F43" s="278">
        <v>3.4394675925925929E-3</v>
      </c>
      <c r="G43" s="278">
        <v>5.0879629629629628E-5</v>
      </c>
      <c r="H43" s="278">
        <v>7.3776620370370367E-3</v>
      </c>
    </row>
    <row r="44" spans="1:8" x14ac:dyDescent="0.35">
      <c r="A44" s="187" t="s">
        <v>194</v>
      </c>
      <c r="B44" s="278">
        <v>3.2701388888888893E-3</v>
      </c>
      <c r="C44" s="278">
        <v>9.1435185185185191E-6</v>
      </c>
      <c r="D44" s="278">
        <v>3.3099456018518519E-2</v>
      </c>
      <c r="E44" s="278">
        <v>8.3449074074074071E-5</v>
      </c>
      <c r="F44" s="278">
        <v>1.5297916666666667E-3</v>
      </c>
      <c r="G44" s="278">
        <v>6.5578703703703708E-5</v>
      </c>
      <c r="H44" s="278">
        <v>3.8057870370370367E-2</v>
      </c>
    </row>
    <row r="45" spans="1:8" x14ac:dyDescent="0.35">
      <c r="A45" s="187" t="s">
        <v>195</v>
      </c>
      <c r="B45" s="278">
        <v>1.3252314814814813E-4</v>
      </c>
      <c r="C45" s="278">
        <v>5.0231481481481482E-5</v>
      </c>
      <c r="D45" s="278">
        <v>7.1922800925925928E-2</v>
      </c>
      <c r="E45" s="278">
        <v>2.2179398148148148E-4</v>
      </c>
      <c r="F45" s="278">
        <v>8.6095370370370371E-3</v>
      </c>
      <c r="G45" s="278">
        <v>1.9740740740740743E-4</v>
      </c>
      <c r="H45" s="278">
        <v>8.1145601851851851E-2</v>
      </c>
    </row>
    <row r="46" spans="1:8" x14ac:dyDescent="0.35">
      <c r="A46" s="187" t="s">
        <v>196</v>
      </c>
      <c r="B46" s="278">
        <v>6.3310185185185192E-4</v>
      </c>
      <c r="C46" s="278">
        <v>1.0381944444444445E-5</v>
      </c>
      <c r="D46" s="278">
        <v>5.6053240740740738E-5</v>
      </c>
      <c r="E46" s="278">
        <v>1.2465277777777778E-5</v>
      </c>
      <c r="F46" s="278">
        <v>3.3966782407407409E-3</v>
      </c>
      <c r="G46" s="278">
        <v>1.1315972222222222E-4</v>
      </c>
      <c r="H46" s="278">
        <v>4.2225347222222221E-3</v>
      </c>
    </row>
  </sheetData>
  <mergeCells count="1">
    <mergeCell ref="B22:C2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A86B9-8B4B-4B13-9A8A-E8DB79A23B8B}">
  <dimension ref="A4:C16"/>
  <sheetViews>
    <sheetView topLeftCell="A3" workbookViewId="0">
      <selection activeCell="A4" sqref="A4"/>
    </sheetView>
  </sheetViews>
  <sheetFormatPr defaultRowHeight="14.5" x14ac:dyDescent="0.35"/>
  <cols>
    <col min="1" max="1" width="29.1796875" customWidth="1"/>
    <col min="2" max="2" width="30.26953125" customWidth="1"/>
    <col min="3" max="3" width="32.7265625" customWidth="1"/>
  </cols>
  <sheetData>
    <row r="4" spans="1:3" ht="81" customHeight="1" x14ac:dyDescent="0.35">
      <c r="A4" s="183" t="s">
        <v>303</v>
      </c>
      <c r="B4" s="184" t="s">
        <v>327</v>
      </c>
      <c r="C4" s="184" t="s">
        <v>325</v>
      </c>
    </row>
    <row r="5" spans="1:3" ht="18" customHeight="1" x14ac:dyDescent="0.35">
      <c r="A5" s="117" t="s">
        <v>5</v>
      </c>
      <c r="B5" s="293" t="s">
        <v>328</v>
      </c>
      <c r="C5" s="293" t="s">
        <v>328</v>
      </c>
    </row>
    <row r="6" spans="1:3" x14ac:dyDescent="0.35">
      <c r="A6" s="119" t="s">
        <v>67</v>
      </c>
      <c r="B6" s="369" t="s">
        <v>68</v>
      </c>
      <c r="C6" s="369"/>
    </row>
    <row r="7" spans="1:3" x14ac:dyDescent="0.35">
      <c r="A7" s="120" t="s">
        <v>69</v>
      </c>
      <c r="B7" s="121">
        <v>2.3098379629629628E-3</v>
      </c>
      <c r="C7" s="121">
        <v>6.732291666666667E-4</v>
      </c>
    </row>
    <row r="8" spans="1:3" x14ac:dyDescent="0.35">
      <c r="A8" s="122" t="s">
        <v>70</v>
      </c>
      <c r="B8" s="113">
        <v>1.4988425925925925E-4</v>
      </c>
      <c r="C8" s="113">
        <v>1.6126157407407408E-4</v>
      </c>
    </row>
    <row r="9" spans="1:3" x14ac:dyDescent="0.35">
      <c r="A9" s="181" t="s">
        <v>71</v>
      </c>
      <c r="B9" s="123">
        <v>1.9753090277777777E-2</v>
      </c>
      <c r="C9" s="123">
        <v>3.3609953703703701E-3</v>
      </c>
    </row>
    <row r="10" spans="1:3" x14ac:dyDescent="0.35">
      <c r="A10" s="124" t="s">
        <v>72</v>
      </c>
      <c r="B10" s="176">
        <v>1.748684027777778E-2</v>
      </c>
      <c r="C10" s="114">
        <v>1.6117129629629631E-2</v>
      </c>
    </row>
    <row r="11" spans="1:3" x14ac:dyDescent="0.35">
      <c r="A11" s="120" t="s">
        <v>73</v>
      </c>
      <c r="B11" s="177">
        <v>1.309525462962963E-2</v>
      </c>
      <c r="C11" s="121">
        <v>1.7890856481481482E-3</v>
      </c>
    </row>
    <row r="12" spans="1:3" x14ac:dyDescent="0.35">
      <c r="A12" s="125" t="s">
        <v>74</v>
      </c>
      <c r="B12" s="178">
        <v>2.8806446759259259E-2</v>
      </c>
      <c r="C12" s="112">
        <v>2.8171909722222221E-2</v>
      </c>
    </row>
    <row r="13" spans="1:3" x14ac:dyDescent="0.35">
      <c r="A13" s="120" t="s">
        <v>75</v>
      </c>
      <c r="B13" s="177"/>
      <c r="C13" s="121"/>
    </row>
    <row r="14" spans="1:3" x14ac:dyDescent="0.35">
      <c r="A14" s="117" t="s">
        <v>76</v>
      </c>
      <c r="B14" s="179"/>
      <c r="C14" s="84"/>
    </row>
    <row r="15" spans="1:3" ht="44.25" customHeight="1" x14ac:dyDescent="0.35">
      <c r="A15" s="175" t="s">
        <v>181</v>
      </c>
      <c r="B15" s="180">
        <v>8.1602314814814808E-2</v>
      </c>
      <c r="C15" s="89">
        <v>5.0276423611111107E-2</v>
      </c>
    </row>
    <row r="16" spans="1:3" x14ac:dyDescent="0.35">
      <c r="A16" s="182" t="s">
        <v>78</v>
      </c>
      <c r="B16" s="84">
        <v>4.0798611111111108E-5</v>
      </c>
      <c r="C16" s="84">
        <v>2.5138888888888892E-5</v>
      </c>
    </row>
  </sheetData>
  <mergeCells count="1">
    <mergeCell ref="B6:C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3DE2E-F494-40B5-9E1A-EAD19C7DF358}">
  <dimension ref="A2:C14"/>
  <sheetViews>
    <sheetView tabSelected="1" workbookViewId="0">
      <selection activeCell="B4" sqref="B4:C4"/>
    </sheetView>
  </sheetViews>
  <sheetFormatPr defaultRowHeight="14.5" x14ac:dyDescent="0.35"/>
  <cols>
    <col min="1" max="1" width="25.54296875" customWidth="1"/>
    <col min="2" max="2" width="35.81640625" customWidth="1"/>
    <col min="3" max="3" width="35.7265625" customWidth="1"/>
  </cols>
  <sheetData>
    <row r="2" spans="1:3" ht="60" x14ac:dyDescent="0.35">
      <c r="A2" s="183" t="s">
        <v>303</v>
      </c>
      <c r="B2" s="184" t="s">
        <v>327</v>
      </c>
      <c r="C2" s="184" t="s">
        <v>325</v>
      </c>
    </row>
    <row r="3" spans="1:3" x14ac:dyDescent="0.35">
      <c r="A3" s="117" t="s">
        <v>5</v>
      </c>
      <c r="B3" s="201" t="s">
        <v>219</v>
      </c>
      <c r="C3" s="201" t="s">
        <v>219</v>
      </c>
    </row>
    <row r="4" spans="1:3" x14ac:dyDescent="0.35">
      <c r="A4" s="119" t="s">
        <v>67</v>
      </c>
      <c r="B4" s="369" t="s">
        <v>68</v>
      </c>
      <c r="C4" s="369"/>
    </row>
    <row r="5" spans="1:3" x14ac:dyDescent="0.35">
      <c r="A5" s="120" t="s">
        <v>69</v>
      </c>
      <c r="B5" s="121">
        <v>3.8815972222222219E-4</v>
      </c>
      <c r="C5" s="121">
        <v>7.5398148148148156E-4</v>
      </c>
    </row>
    <row r="6" spans="1:3" x14ac:dyDescent="0.35">
      <c r="A6" s="122" t="s">
        <v>70</v>
      </c>
      <c r="B6" s="113">
        <v>1.2878472222222222E-4</v>
      </c>
      <c r="C6" s="113">
        <v>8.0243055555555555E-5</v>
      </c>
    </row>
    <row r="7" spans="1:3" x14ac:dyDescent="0.35">
      <c r="A7" s="181" t="s">
        <v>71</v>
      </c>
      <c r="B7" s="123">
        <v>3.4256944444444448E-3</v>
      </c>
      <c r="C7" s="123">
        <v>1.7649189814814815E-2</v>
      </c>
    </row>
    <row r="8" spans="1:3" x14ac:dyDescent="0.35">
      <c r="A8" s="124" t="s">
        <v>72</v>
      </c>
      <c r="B8" s="176">
        <v>1.7566817129629628E-2</v>
      </c>
      <c r="C8" s="114">
        <v>1.5857638888888886E-2</v>
      </c>
    </row>
    <row r="9" spans="1:3" x14ac:dyDescent="0.35">
      <c r="A9" s="120" t="s">
        <v>73</v>
      </c>
      <c r="B9" s="177">
        <v>3.1760763888888889E-3</v>
      </c>
      <c r="C9" s="121">
        <v>6.0437499999999996E-3</v>
      </c>
    </row>
    <row r="10" spans="1:3" x14ac:dyDescent="0.35">
      <c r="A10" s="125" t="s">
        <v>74</v>
      </c>
      <c r="B10" s="178">
        <v>1.8618171296296296E-2</v>
      </c>
      <c r="C10" s="112">
        <v>1.8433715277777776E-2</v>
      </c>
    </row>
    <row r="11" spans="1:3" x14ac:dyDescent="0.35">
      <c r="A11" s="120" t="s">
        <v>75</v>
      </c>
      <c r="B11" s="177"/>
      <c r="C11" s="121"/>
    </row>
    <row r="12" spans="1:3" x14ac:dyDescent="0.35">
      <c r="A12" s="117" t="s">
        <v>76</v>
      </c>
      <c r="B12" s="179"/>
      <c r="C12" s="84"/>
    </row>
    <row r="13" spans="1:3" ht="29" x14ac:dyDescent="0.35">
      <c r="A13" s="175" t="s">
        <v>181</v>
      </c>
      <c r="B13" s="180">
        <v>4.3308877314814816E-2</v>
      </c>
      <c r="C13" s="89">
        <v>5.8823194444444442E-2</v>
      </c>
    </row>
    <row r="14" spans="1:3" x14ac:dyDescent="0.35">
      <c r="A14" s="182" t="s">
        <v>78</v>
      </c>
      <c r="B14" s="84">
        <v>2.1655092592592592E-5</v>
      </c>
      <c r="C14" s="84">
        <v>2.9409722222222222E-5</v>
      </c>
    </row>
  </sheetData>
  <mergeCells count="1">
    <mergeCell ref="B4:C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s xmlns="66702703-1947-4ef3-a2c3-7fba8e3a4f32" xsi:nil="true"/>
    <TaxCatchAll xmlns="50c908b1-f277-4340-90a9-4611d0b0f078" xsi:nil="true"/>
    <VideoDescription xmlns="66702703-1947-4ef3-a2c3-7fba8e3a4f32">Enter high level description of Video</VideoDescription>
    <lcf76f155ced4ddcb4097134ff3c332f xmlns="66702703-1947-4ef3-a2c3-7fba8e3a4f32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A2408A78C1E448B4939212AB6ADBF0" ma:contentTypeVersion="20" ma:contentTypeDescription="Create a new document." ma:contentTypeScope="" ma:versionID="8f33af8c2fffb5e4b62a6c761a3ab9c4">
  <xsd:schema xmlns:xsd="http://www.w3.org/2001/XMLSchema" xmlns:xs="http://www.w3.org/2001/XMLSchema" xmlns:p="http://schemas.microsoft.com/office/2006/metadata/properties" xmlns:ns2="66702703-1947-4ef3-a2c3-7fba8e3a4f32" xmlns:ns3="da119e9c-42fc-4990-a706-3ac9854a1d6f" xmlns:ns4="50c908b1-f277-4340-90a9-4611d0b0f078" targetNamespace="http://schemas.microsoft.com/office/2006/metadata/properties" ma:root="true" ma:fieldsID="542743bbc810683c0ed8f71c4d055a56" ns2:_="" ns3:_="" ns4:_="">
    <xsd:import namespace="66702703-1947-4ef3-a2c3-7fba8e3a4f32"/>
    <xsd:import namespace="da119e9c-42fc-4990-a706-3ac9854a1d6f"/>
    <xsd:import namespace="50c908b1-f277-4340-90a9-4611d0b0f07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Comments" minOccurs="0"/>
                <xsd:element ref="ns2:VideoDescription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02703-1947-4ef3-a2c3-7fba8e3a4f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s" ma:index="19" nillable="true" ma:displayName="Comments" ma:format="Dropdown" ma:internalName="Comments">
      <xsd:simpleType>
        <xsd:restriction base="dms:Note">
          <xsd:maxLength value="255"/>
        </xsd:restriction>
      </xsd:simpleType>
    </xsd:element>
    <xsd:element name="VideoDescription" ma:index="20" nillable="true" ma:displayName="Video Description" ma:default="Enter high level description of Video" ma:description="Video Description" ma:format="Dropdown" ma:internalName="VideoDescription">
      <xsd:simpleType>
        <xsd:restriction base="dms:Note">
          <xsd:maxLength value="255"/>
        </xsd:restriction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33ef62f9-2e07-484b-bd79-00aec90129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119e9c-42fc-4990-a706-3ac9854a1d6f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c908b1-f277-4340-90a9-4611d0b0f078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3680c69e-841c-4926-a22b-715565ee9b18}" ma:internalName="TaxCatchAll" ma:showField="CatchAllData" ma:web="da119e9c-42fc-4990-a706-3ac9854a1d6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ADF49C9-8ACA-4C55-A58D-EB6265FF48CE}">
  <ds:schemaRefs>
    <ds:schemaRef ds:uri="http://schemas.microsoft.com/office/2006/metadata/properties"/>
    <ds:schemaRef ds:uri="http://schemas.microsoft.com/office/infopath/2007/PartnerControls"/>
    <ds:schemaRef ds:uri="66702703-1947-4ef3-a2c3-7fba8e3a4f32"/>
    <ds:schemaRef ds:uri="50c908b1-f277-4340-90a9-4611d0b0f078"/>
  </ds:schemaRefs>
</ds:datastoreItem>
</file>

<file path=customXml/itemProps2.xml><?xml version="1.0" encoding="utf-8"?>
<ds:datastoreItem xmlns:ds="http://schemas.openxmlformats.org/officeDocument/2006/customXml" ds:itemID="{F7E026F2-7689-4C93-975E-D2BE024BC99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002DC4-6E40-4281-96C1-ADDAE4E077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702703-1947-4ef3-a2c3-7fba8e3a4f32"/>
    <ds:schemaRef ds:uri="da119e9c-42fc-4990-a706-3ac9854a1d6f"/>
    <ds:schemaRef ds:uri="50c908b1-f277-4340-90a9-4611d0b0f07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EXEC tRACKER</vt:lpstr>
      <vt:lpstr>RUN LOG</vt:lpstr>
      <vt:lpstr>5 Clients_10K REC</vt:lpstr>
      <vt:lpstr>1Client_2K REC</vt:lpstr>
      <vt:lpstr>1029UAP+2K</vt:lpstr>
      <vt:lpstr>1544APUsers+6KBulkCase_14thNov</vt:lpstr>
      <vt:lpstr>Standalone_9Clients_20K Rec</vt:lpstr>
      <vt:lpstr>1544APUsers+6KBulkCase_18thNov</vt:lpstr>
      <vt:lpstr>1544APUsers_20KBulkCase_20thNov</vt:lpstr>
      <vt:lpstr>1544APUsers_20KBulkCase_28thNov</vt:lpstr>
      <vt:lpstr>1544U_GBTest</vt:lpstr>
      <vt:lpstr>1544U_GBTest_LAPAutoscale_08Dec</vt:lpstr>
      <vt:lpstr>R18_Test#1</vt:lpstr>
      <vt:lpstr>R18_Test#2Baseline</vt:lpstr>
      <vt:lpstr>R18_Test#3_2217Run</vt:lpstr>
      <vt:lpstr>R18_Test#4_2217u</vt:lpstr>
      <vt:lpstr>R18_Test#5_GDC1.2_GB_2217u</vt:lpstr>
      <vt:lpstr>R18.0.1_Test#1_GDC1.3_GB_2217u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 Menon</dc:creator>
  <cp:keywords/>
  <dc:description/>
  <cp:lastModifiedBy>Arijit Ghosh</cp:lastModifiedBy>
  <cp:revision/>
  <dcterms:created xsi:type="dcterms:W3CDTF">2025-11-05T13:07:00Z</dcterms:created>
  <dcterms:modified xsi:type="dcterms:W3CDTF">2026-03-16T13:53:39Z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0x0101000FA2408A78C1E448B4939212AB6ADBF0</vt:lpwstr>
  </property>
  <property fmtid="{D5CDD505-2E9C-101B-9397-08002B2CF9AE}" pid="3" name="MediaServiceImageTags">
    <vt:lpwstr/>
  </property>
  <property fmtid="{D5CDD505-2E9C-101B-9397-08002B2CF9AE}" pid="4" name="SV_QUERY_LIST_4F35BF76-6C0D-4D9B-82B2-816C12CF3733">
    <vt:lpwstr>empty_477D106A-C0D6-4607-AEBD-E2C9D60EA279</vt:lpwstr>
  </property>
  <property fmtid="{D5CDD505-2E9C-101B-9397-08002B2CF9AE}" pid="5" name="SV_HIDDEN_GRID_QUERY_LIST_4F35BF76-6C0D-4D9B-82B2-816C12CF3733">
    <vt:lpwstr>empty_477D106A-C0D6-4607-AEBD-E2C9D60EA279</vt:lpwstr>
  </property>
</Properties>
</file>